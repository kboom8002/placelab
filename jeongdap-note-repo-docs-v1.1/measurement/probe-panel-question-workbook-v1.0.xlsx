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안내" sheetId="1" state="visible" r:id="rId3"/>
    <sheet name="할당표" sheetId="2" state="visible" r:id="rId4"/>
    <sheet name="사무 목록" sheetId="3" state="visible" r:id="rId5"/>
    <sheet name="템플릿 문항" sheetId="4" state="visible" r:id="rId6"/>
    <sheet name="매개변수 사전" sheetId="5" state="visible" r:id="rId7"/>
    <sheet name="검증 기준" sheetId="6" state="visible" r:id="rId8"/>
    <sheet name="파일럿 채점표" sheetId="7" state="visible" r:id="rId9"/>
  </sheets>
  <definedNames>
    <definedName function="false" hidden="true" localSheetId="3" name="_xlnm._FilterDatabase" vbProcedure="false">'템플릿 문항'!$A$3:$O$360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<sst xmlns="http://schemas.openxmlformats.org/spreadsheetml/2006/main" count="5009" uniqueCount="1321">
  <si>
    <r>
      <rPr>
        <b val="true"/>
        <sz val="14"/>
        <rFont val="Noto Sans CJK SC"/>
        <family val="2"/>
      </rPr>
      <t xml:space="preserve">모두의 정답노트 — 전국 공통 프로브 패널 문항 생성 틀 </t>
    </r>
    <r>
      <rPr>
        <b val="true"/>
        <sz val="14"/>
        <rFont val="맑은 고딕"/>
        <family val="0"/>
        <charset val="1"/>
      </rPr>
      <t xml:space="preserve">v1.0</t>
    </r>
  </si>
  <si>
    <r>
      <rPr>
        <sz val="9"/>
        <color rgb="FF595959"/>
        <rFont val="Noto Sans CJK SC"/>
        <family val="2"/>
      </rPr>
      <t xml:space="preserve">작성 </t>
    </r>
    <r>
      <rPr>
        <sz val="9"/>
        <color rgb="FF595959"/>
        <rFont val="맑은 고딕"/>
        <family val="0"/>
        <charset val="1"/>
      </rPr>
      <t xml:space="preserve">2026-10-08 · </t>
    </r>
    <r>
      <rPr>
        <sz val="9"/>
        <color rgb="FF595959"/>
        <rFont val="Noto Sans CJK SC"/>
        <family val="2"/>
      </rPr>
      <t xml:space="preserve">㈜디지털미디어네트워크 </t>
    </r>
    <r>
      <rPr>
        <sz val="9"/>
        <color rgb="FF595959"/>
        <rFont val="맑은 고딕"/>
        <family val="0"/>
        <charset val="1"/>
      </rPr>
      <t xml:space="preserve">· </t>
    </r>
    <r>
      <rPr>
        <sz val="9"/>
        <color rgb="FF595959"/>
        <rFont val="Noto Sans CJK SC"/>
        <family val="2"/>
      </rPr>
      <t xml:space="preserve">방법론 </t>
    </r>
    <r>
      <rPr>
        <sz val="9"/>
        <color rgb="FF595959"/>
        <rFont val="맑은 고딕"/>
        <family val="0"/>
        <charset val="1"/>
      </rPr>
      <t xml:space="preserve">v1.0 11</t>
    </r>
    <r>
      <rPr>
        <sz val="9"/>
        <color rgb="FF595959"/>
        <rFont val="Noto Sans CJK SC"/>
        <family val="2"/>
      </rPr>
      <t xml:space="preserve">장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문항 개발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표준화 로드맵</t>
    </r>
    <r>
      <rPr>
        <sz val="9"/>
        <color rgb="FF595959"/>
        <rFont val="맑은 고딕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부속</t>
    </r>
  </si>
  <si>
    <t xml:space="preserve">목적</t>
  </si>
  <si>
    <r>
      <rPr>
        <sz val="10"/>
        <rFont val="Noto Sans CJK SC"/>
        <family val="2"/>
      </rPr>
      <t xml:space="preserve">패널 </t>
    </r>
    <r>
      <rPr>
        <sz val="10"/>
        <rFont val="맑은 고딕"/>
        <family val="0"/>
        <charset val="1"/>
      </rPr>
      <t xml:space="preserve">550(</t>
    </r>
    <r>
      <rPr>
        <sz val="10"/>
        <rFont val="Noto Sans CJK SC"/>
        <family val="2"/>
      </rPr>
      <t xml:space="preserve">방법론 </t>
    </r>
    <r>
      <rPr>
        <sz val="10"/>
        <rFont val="맑은 고딕"/>
        <family val="0"/>
        <charset val="1"/>
      </rPr>
      <t xml:space="preserve">3.1) </t>
    </r>
    <r>
      <rPr>
        <sz val="10"/>
        <rFont val="Noto Sans CJK SC"/>
        <family val="2"/>
      </rPr>
      <t xml:space="preserve">중 생활 행정 템플릿 </t>
    </r>
    <r>
      <rPr>
        <sz val="10"/>
        <rFont val="맑은 고딕"/>
        <family val="0"/>
        <charset val="1"/>
      </rPr>
      <t xml:space="preserve">200</t>
    </r>
    <r>
      <rPr>
        <sz val="10"/>
        <rFont val="Noto Sans CJK SC"/>
        <family val="2"/>
      </rPr>
      <t xml:space="preserve">문항의 후보 </t>
    </r>
    <r>
      <rPr>
        <sz val="10"/>
        <rFont val="맑은 고딕"/>
        <family val="0"/>
        <charset val="1"/>
      </rPr>
      <t xml:space="preserve">600</t>
    </r>
    <r>
      <rPr>
        <sz val="10"/>
        <rFont val="Noto Sans CJK SC"/>
        <family val="2"/>
      </rPr>
      <t xml:space="preserve">을 법정 공통 사무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실제 수요에서 추출하고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파일럿 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곳 검증으로 </t>
    </r>
    <r>
      <rPr>
        <sz val="10"/>
        <rFont val="맑은 고딕"/>
        <family val="0"/>
        <charset val="1"/>
      </rPr>
      <t xml:space="preserve">200(</t>
    </r>
    <r>
      <rPr>
        <sz val="10"/>
        <rFont val="Noto Sans CJK SC"/>
        <family val="2"/>
      </rPr>
      <t xml:space="preserve">코어 </t>
    </r>
    <r>
      <rPr>
        <sz val="10"/>
        <rFont val="맑은 고딕"/>
        <family val="0"/>
        <charset val="1"/>
      </rPr>
      <t xml:space="preserve">140·</t>
    </r>
    <r>
      <rPr>
        <sz val="10"/>
        <rFont val="Noto Sans CJK SC"/>
        <family val="2"/>
      </rPr>
      <t xml:space="preserve">광역 확장 </t>
    </r>
    <r>
      <rPr>
        <sz val="10"/>
        <rFont val="맑은 고딕"/>
        <family val="0"/>
        <charset val="1"/>
      </rPr>
      <t xml:space="preserve">40·</t>
    </r>
    <r>
      <rPr>
        <sz val="10"/>
        <rFont val="Noto Sans CJK SC"/>
        <family val="2"/>
      </rPr>
      <t xml:space="preserve">회전 </t>
    </r>
    <r>
      <rPr>
        <sz val="10"/>
        <rFont val="맑은 고딕"/>
        <family val="0"/>
        <charset val="1"/>
      </rPr>
      <t xml:space="preserve">20)</t>
    </r>
    <r>
      <rPr>
        <sz val="10"/>
        <rFont val="Noto Sans CJK SC"/>
        <family val="2"/>
      </rPr>
      <t xml:space="preserve">을 확정하는 작업 틀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국가 대표 </t>
    </r>
    <r>
      <rPr>
        <sz val="10"/>
        <rFont val="맑은 고딕"/>
        <family val="0"/>
        <charset val="1"/>
      </rPr>
      <t xml:space="preserve">100·</t>
    </r>
    <r>
      <rPr>
        <sz val="10"/>
        <rFont val="Noto Sans CJK SC"/>
        <family val="2"/>
      </rPr>
      <t xml:space="preserve">지역 문화 </t>
    </r>
    <r>
      <rPr>
        <sz val="10"/>
        <rFont val="맑은 고딕"/>
        <family val="0"/>
        <charset val="1"/>
      </rPr>
      <t xml:space="preserve">200</t>
    </r>
    <r>
      <rPr>
        <sz val="10"/>
        <rFont val="Noto Sans CJK SC"/>
        <family val="2"/>
      </rPr>
      <t xml:space="preserve">은 공식 목록에서 별도 추출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지역 문화 트랙 </t>
    </r>
    <r>
      <rPr>
        <sz val="10"/>
        <rFont val="맑은 고딕"/>
        <family val="0"/>
        <charset val="1"/>
      </rPr>
      <t xml:space="preserve">190 </t>
    </r>
    <r>
      <rPr>
        <sz val="10"/>
        <rFont val="Noto Sans CJK SC"/>
        <family val="2"/>
      </rPr>
      <t xml:space="preserve">승계</t>
    </r>
    <r>
      <rPr>
        <sz val="10"/>
        <rFont val="맑은 고딕"/>
        <family val="0"/>
        <charset val="1"/>
      </rPr>
      <t xml:space="preserve">)</t>
    </r>
  </si>
  <si>
    <t xml:space="preserve">원칙</t>
  </si>
  <si>
    <r>
      <rPr>
        <sz val="10"/>
        <rFont val="Noto Sans CJK SC"/>
        <family val="2"/>
      </rPr>
      <t xml:space="preserve">① 한 질문 </t>
    </r>
    <r>
      <rPr>
        <sz val="10"/>
        <rFont val="맑은 고딕"/>
        <family val="0"/>
        <charset val="1"/>
      </rPr>
      <t xml:space="preserve">= </t>
    </r>
    <r>
      <rPr>
        <sz val="10"/>
        <rFont val="Noto Sans CJK SC"/>
        <family val="2"/>
      </rPr>
      <t xml:space="preserve">공식 문서로 판정 가능한 하나의 사실 ② 정답이 지자체마다 달라야 함 ③ 특정 지자체 공식 명칭을 유도하지 않는 중립 표현 ④ 문항마다 메타데이터 </t>
    </r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개 ⑤ 영역</t>
    </r>
    <r>
      <rPr>
        <sz val="10"/>
        <rFont val="맑은 고딕"/>
        <family val="0"/>
        <charset val="1"/>
      </rPr>
      <t xml:space="preserve">×</t>
    </r>
    <r>
      <rPr>
        <sz val="10"/>
        <rFont val="Noto Sans CJK SC"/>
        <family val="2"/>
      </rPr>
      <t xml:space="preserve">위험</t>
    </r>
    <r>
      <rPr>
        <sz val="10"/>
        <rFont val="맑은 고딕"/>
        <family val="0"/>
        <charset val="1"/>
      </rPr>
      <t xml:space="preserve">×</t>
    </r>
    <r>
      <rPr>
        <sz val="10"/>
        <rFont val="Noto Sans CJK SC"/>
        <family val="2"/>
      </rPr>
      <t xml:space="preserve">유형 층화 할당</t>
    </r>
  </si>
  <si>
    <t xml:space="preserve">시트 구성</t>
  </si>
  <si>
    <t xml:space="preserve">할당표 → 사무 목록 → 템플릿 문항 → 매개변수 사전 → 검증 기준 → 파일럿 채점표</t>
  </si>
  <si>
    <t xml:space="preserve">생성 방법</t>
  </si>
  <si>
    <r>
      <rPr>
        <sz val="10"/>
        <rFont val="Noto Sans CJK SC"/>
        <family val="2"/>
      </rPr>
      <t xml:space="preserve">템플릿 문항의 </t>
    </r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매개변수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를 매개변수 사전 값으로 전개하면 후보 문항이 된다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변형 수 </t>
    </r>
    <r>
      <rPr>
        <sz val="10"/>
        <rFont val="맑은 고딕"/>
        <family val="0"/>
        <charset val="1"/>
      </rPr>
      <t xml:space="preserve">= </t>
    </r>
    <r>
      <rPr>
        <sz val="10"/>
        <rFont val="Noto Sans CJK SC"/>
        <family val="2"/>
      </rPr>
      <t xml:space="preserve">전개 후 문항 수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템플릿 수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SC"/>
        <family val="2"/>
      </rPr>
      <t xml:space="preserve">변형 수 합계가 후보 총수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할당표 참조</t>
    </r>
    <r>
      <rPr>
        <sz val="10"/>
        <rFont val="맑은 고딕"/>
        <family val="0"/>
        <charset val="1"/>
      </rPr>
      <t xml:space="preserve">)</t>
    </r>
  </si>
  <si>
    <t xml:space="preserve">편집할 셀</t>
  </si>
  <si>
    <r>
      <rPr>
        <sz val="10"/>
        <rFont val="Noto Sans CJK SC"/>
        <family val="2"/>
      </rPr>
      <t xml:space="preserve">파란 글씨 </t>
    </r>
    <r>
      <rPr>
        <sz val="10"/>
        <rFont val="맑은 고딕"/>
        <family val="0"/>
        <charset val="1"/>
      </rPr>
      <t xml:space="preserve">= </t>
    </r>
    <r>
      <rPr>
        <sz val="10"/>
        <rFont val="Noto Sans CJK SC"/>
        <family val="2"/>
      </rPr>
      <t xml:space="preserve">입력값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할당표의 코어 목표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검증 기준의 임계값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파일럿 채점표의 판정 입력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검정 글씨 </t>
    </r>
    <r>
      <rPr>
        <sz val="10"/>
        <rFont val="맑은 고딕"/>
        <family val="0"/>
        <charset val="1"/>
      </rPr>
      <t xml:space="preserve">= </t>
    </r>
    <r>
      <rPr>
        <sz val="10"/>
        <rFont val="Noto Sans CJK SC"/>
        <family val="2"/>
      </rPr>
      <t xml:space="preserve">수식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수정하지 않음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노란 칸 </t>
    </r>
    <r>
      <rPr>
        <sz val="10"/>
        <rFont val="맑은 고딕"/>
        <family val="0"/>
        <charset val="1"/>
      </rPr>
      <t xml:space="preserve">= </t>
    </r>
    <r>
      <rPr>
        <sz val="10"/>
        <rFont val="Noto Sans CJK SC"/>
        <family val="2"/>
      </rPr>
      <t xml:space="preserve">사용자가 채우는 칸</t>
    </r>
  </si>
  <si>
    <t xml:space="preserve">템플릿 추가</t>
  </si>
  <si>
    <r>
      <rPr>
        <sz val="10"/>
        <rFont val="Noto Sans CJK SC"/>
        <family val="2"/>
      </rPr>
      <t xml:space="preserve">템플릿 문항 시트 맨 아래 행에 같은 형식으로 추가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영역</t>
    </r>
    <r>
      <rPr>
        <sz val="10"/>
        <rFont val="맑은 고딕"/>
        <family val="0"/>
        <charset val="1"/>
      </rPr>
      <t xml:space="preserve">ID·</t>
    </r>
    <r>
      <rPr>
        <sz val="10"/>
        <rFont val="Noto Sans CJK SC"/>
        <family val="2"/>
      </rPr>
      <t xml:space="preserve">사무</t>
    </r>
    <r>
      <rPr>
        <sz val="10"/>
        <rFont val="맑은 고딕"/>
        <family val="0"/>
        <charset val="1"/>
      </rPr>
      <t xml:space="preserve">ID·</t>
    </r>
    <r>
      <rPr>
        <sz val="10"/>
        <rFont val="Noto Sans CJK SC"/>
        <family val="2"/>
      </rPr>
      <t xml:space="preserve">유형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위험은 목록에서 선택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할당표의 실제 수는 자동 집계</t>
    </r>
  </si>
  <si>
    <t xml:space="preserve">전제</t>
  </si>
  <si>
    <r>
      <rPr>
        <sz val="10"/>
        <rFont val="Noto Sans CJK SC"/>
        <family val="2"/>
      </rPr>
      <t xml:space="preserve">위험 등급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저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은 작성자 초기 판정이며 파일럿 내용 타당도 단계에서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인이 재판정한다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변형 수의 표집 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동 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곳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도서관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곳 등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는 가정이다</t>
    </r>
  </si>
  <si>
    <t xml:space="preserve">보강 규칙</t>
  </si>
  <si>
    <r>
      <rPr>
        <sz val="10"/>
        <rFont val="Noto Sans CJK SC"/>
        <family val="2"/>
      </rPr>
      <t xml:space="preserve">할당표의 차이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실제−목표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가 음수가 되는 영역은 파일럿 전에 수요 원천 템플릿을 보강한다</t>
    </r>
    <r>
      <rPr>
        <sz val="10"/>
        <rFont val="맑은 고딕"/>
        <family val="0"/>
        <charset val="1"/>
      </rPr>
      <t xml:space="preserve">(v1.0</t>
    </r>
    <r>
      <rPr>
        <sz val="10"/>
        <rFont val="Noto Sans CJK SC"/>
        <family val="2"/>
      </rPr>
      <t xml:space="preserve">에서 교육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보육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주거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건축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경제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일자리 보강 완료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시민 신고판이 열리면 그 수요 자료가 우선 원천</t>
    </r>
  </si>
  <si>
    <t xml:space="preserve">출처</t>
  </si>
  <si>
    <r>
      <rPr>
        <sz val="10"/>
        <rFont val="Noto Sans CJK SC"/>
        <family val="2"/>
      </rPr>
      <t xml:space="preserve">사무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근거 법령은 각 법률 조문과 지자체 조례 일반 체계에 따름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개별 조문 번호는 측정 전 확인 필요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분리배출 품목은 환경부 분리배출 안내 체계 참조</t>
    </r>
  </si>
  <si>
    <t xml:space="preserve">범례</t>
  </si>
  <si>
    <r>
      <rPr>
        <sz val="10"/>
        <color rgb="FF0000FF"/>
        <rFont val="Noto Sans CJK SC"/>
        <family val="2"/>
      </rPr>
      <t xml:space="preserve">입력값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파란 글씨</t>
    </r>
    <r>
      <rPr>
        <sz val="10"/>
        <color rgb="FF0000FF"/>
        <rFont val="맑은 고딕"/>
        <family val="0"/>
        <charset val="1"/>
      </rPr>
      <t xml:space="preserve">)</t>
    </r>
  </si>
  <si>
    <t xml:space="preserve">사용자 기입 칸</t>
  </si>
  <si>
    <r>
      <rPr>
        <sz val="10"/>
        <rFont val="Noto Sans CJK SC"/>
        <family val="2"/>
      </rPr>
      <t xml:space="preserve">수식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검정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</si>
  <si>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4"/>
        <rFont val="Noto Sans CJK SC"/>
        <family val="2"/>
      </rPr>
      <t xml:space="preserve">영역 </t>
    </r>
    <r>
      <rPr>
        <b val="true"/>
        <sz val="14"/>
        <rFont val="맑은 고딕"/>
        <family val="0"/>
        <charset val="1"/>
      </rPr>
      <t xml:space="preserve">× </t>
    </r>
    <r>
      <rPr>
        <b val="true"/>
        <sz val="14"/>
        <rFont val="Noto Sans CJK SC"/>
        <family val="2"/>
      </rPr>
      <t xml:space="preserve">위험 할당표 — 후보 목표</t>
    </r>
    <r>
      <rPr>
        <b val="true"/>
        <sz val="14"/>
        <rFont val="맑은 고딕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실제 후보</t>
    </r>
    <r>
      <rPr>
        <b val="true"/>
        <sz val="14"/>
        <rFont val="맑은 고딕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템플릿 전개 수</t>
    </r>
    <r>
      <rPr>
        <b val="true"/>
        <sz val="14"/>
        <rFont val="맑은 고딕"/>
        <family val="0"/>
        <charset val="1"/>
      </rPr>
      <t xml:space="preserve">)·</t>
    </r>
    <r>
      <rPr>
        <b val="true"/>
        <sz val="14"/>
        <rFont val="Noto Sans CJK SC"/>
        <family val="2"/>
      </rPr>
      <t xml:space="preserve">패널 코어 목표</t>
    </r>
  </si>
  <si>
    <r>
      <rPr>
        <sz val="9"/>
        <color rgb="FF595959"/>
        <rFont val="Noto Sans CJK SC"/>
        <family val="2"/>
      </rPr>
      <t xml:space="preserve">실제 후보 </t>
    </r>
    <r>
      <rPr>
        <sz val="9"/>
        <color rgb="FF595959"/>
        <rFont val="맑은 고딕"/>
        <family val="0"/>
        <charset val="1"/>
      </rPr>
      <t xml:space="preserve">= </t>
    </r>
    <r>
      <rPr>
        <sz val="9"/>
        <color rgb="FF595959"/>
        <rFont val="Noto Sans CJK SC"/>
        <family val="2"/>
      </rPr>
      <t xml:space="preserve">템플릿 문항 시트의 변형 수를 영역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위험별로 합산</t>
    </r>
    <r>
      <rPr>
        <sz val="9"/>
        <color rgb="FF595959"/>
        <rFont val="맑은 고딕"/>
        <family val="0"/>
        <charset val="1"/>
      </rPr>
      <t xml:space="preserve">(SUMIFS). </t>
    </r>
    <r>
      <rPr>
        <sz val="9"/>
        <color rgb="FF595959"/>
        <rFont val="Noto Sans CJK SC"/>
        <family val="2"/>
      </rPr>
      <t xml:space="preserve">후보 목표 합계 </t>
    </r>
    <r>
      <rPr>
        <sz val="9"/>
        <color rgb="FF595959"/>
        <rFont val="맑은 고딕"/>
        <family val="0"/>
        <charset val="1"/>
      </rPr>
      <t xml:space="preserve">600, </t>
    </r>
    <r>
      <rPr>
        <sz val="9"/>
        <color rgb="FF595959"/>
        <rFont val="Noto Sans CJK SC"/>
        <family val="2"/>
      </rPr>
      <t xml:space="preserve">코어 목표 합계 </t>
    </r>
    <r>
      <rPr>
        <sz val="9"/>
        <color rgb="FF595959"/>
        <rFont val="맑은 고딕"/>
        <family val="0"/>
        <charset val="1"/>
      </rPr>
      <t xml:space="preserve">140(</t>
    </r>
    <r>
      <rPr>
        <sz val="9"/>
        <color rgb="FF595959"/>
        <rFont val="Noto Sans CJK SC"/>
        <family val="2"/>
      </rPr>
      <t xml:space="preserve">입력값</t>
    </r>
    <r>
      <rPr>
        <sz val="9"/>
        <color rgb="FF595959"/>
        <rFont val="맑은 고딕"/>
        <family val="0"/>
        <charset val="1"/>
      </rPr>
      <t xml:space="preserve">).</t>
    </r>
  </si>
  <si>
    <r>
      <rPr>
        <b val="true"/>
        <sz val="10"/>
        <color rgb="FFFFFFFF"/>
        <rFont val="Noto Sans CJK SC"/>
        <family val="2"/>
      </rPr>
      <t xml:space="preserve">영역</t>
    </r>
    <r>
      <rPr>
        <b val="true"/>
        <sz val="10"/>
        <color rgb="FFFFFFFF"/>
        <rFont val="맑은 고딕"/>
        <family val="0"/>
        <charset val="1"/>
      </rPr>
      <t xml:space="preserve">ID</t>
    </r>
  </si>
  <si>
    <t xml:space="preserve">영역</t>
  </si>
  <si>
    <t xml:space="preserve">후보 목표</t>
  </si>
  <si>
    <r>
      <rPr>
        <b val="true"/>
        <sz val="10"/>
        <color rgb="FFFFFFFF"/>
        <rFont val="Noto Sans CJK SC"/>
        <family val="2"/>
      </rPr>
      <t xml:space="preserve">실제 후보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합계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</si>
  <si>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고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실제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</si>
  <si>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중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실제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</si>
  <si>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저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실제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</si>
  <si>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템플릿 수</t>
  </si>
  <si>
    <t xml:space="preserve">코어 목표</t>
  </si>
  <si>
    <t xml:space="preserve">고위험 비중</t>
  </si>
  <si>
    <r>
      <rPr>
        <b val="true"/>
        <sz val="10"/>
        <color rgb="FFFFFFFF"/>
        <rFont val="Noto Sans CJK SC"/>
        <family val="2"/>
      </rPr>
      <t xml:space="preserve">차이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실제−목표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</si>
  <si>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A01</t>
  </si>
  <si>
    <r>
      <rPr>
        <sz val="10"/>
        <rFont val="Noto Sans CJK SC"/>
        <family val="2"/>
      </rPr>
      <t xml:space="preserve">주민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민원</t>
    </r>
  </si>
  <si>
    <t xml:space="preserve">A02</t>
  </si>
  <si>
    <r>
      <rPr>
        <sz val="10"/>
        <rFont val="Noto Sans CJK SC"/>
        <family val="2"/>
      </rPr>
      <t xml:space="preserve">청소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환경</t>
    </r>
  </si>
  <si>
    <t xml:space="preserve">A03</t>
  </si>
  <si>
    <r>
      <rPr>
        <sz val="10"/>
        <rFont val="Noto Sans CJK SC"/>
        <family val="2"/>
      </rPr>
      <t xml:space="preserve">교통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주차</t>
    </r>
  </si>
  <si>
    <t xml:space="preserve">A04</t>
  </si>
  <si>
    <r>
      <rPr>
        <sz val="10"/>
        <rFont val="Noto Sans CJK SC"/>
        <family val="2"/>
      </rPr>
      <t xml:space="preserve">보건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의료</t>
    </r>
  </si>
  <si>
    <t xml:space="preserve">A05</t>
  </si>
  <si>
    <r>
      <rPr>
        <sz val="10"/>
        <rFont val="Noto Sans CJK SC"/>
        <family val="2"/>
      </rPr>
      <t xml:space="preserve">복지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돌봄</t>
    </r>
  </si>
  <si>
    <t xml:space="preserve">A06</t>
  </si>
  <si>
    <r>
      <rPr>
        <sz val="10"/>
        <rFont val="Noto Sans CJK SC"/>
        <family val="2"/>
      </rPr>
      <t xml:space="preserve">세금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요금</t>
    </r>
  </si>
  <si>
    <t xml:space="preserve">A07</t>
  </si>
  <si>
    <r>
      <rPr>
        <sz val="10"/>
        <rFont val="Noto Sans CJK SC"/>
        <family val="2"/>
      </rPr>
      <t xml:space="preserve">안전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재난</t>
    </r>
  </si>
  <si>
    <t xml:space="preserve">A08</t>
  </si>
  <si>
    <r>
      <rPr>
        <sz val="10"/>
        <rFont val="Noto Sans CJK SC"/>
        <family val="2"/>
      </rPr>
      <t xml:space="preserve">교육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보육</t>
    </r>
  </si>
  <si>
    <t xml:space="preserve">A09</t>
  </si>
  <si>
    <r>
      <rPr>
        <sz val="10"/>
        <rFont val="Noto Sans CJK SC"/>
        <family val="2"/>
      </rPr>
      <t xml:space="preserve">문화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관광</t>
    </r>
  </si>
  <si>
    <t xml:space="preserve">A10</t>
  </si>
  <si>
    <r>
      <rPr>
        <sz val="10"/>
        <rFont val="Noto Sans CJK SC"/>
        <family val="2"/>
      </rPr>
      <t xml:space="preserve">주거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건축</t>
    </r>
  </si>
  <si>
    <t xml:space="preserve">A11</t>
  </si>
  <si>
    <r>
      <rPr>
        <sz val="10"/>
        <rFont val="Noto Sans CJK SC"/>
        <family val="2"/>
      </rPr>
      <t xml:space="preserve">경제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일자리</t>
    </r>
  </si>
  <si>
    <t xml:space="preserve">A12</t>
  </si>
  <si>
    <r>
      <rPr>
        <sz val="10"/>
        <rFont val="Noto Sans CJK SC"/>
        <family val="2"/>
      </rPr>
      <t xml:space="preserve">생활안전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동물</t>
    </r>
  </si>
  <si>
    <t xml:space="preserve">합계</t>
  </si>
  <si>
    <t xml:space="preserve">점검</t>
  </si>
  <si>
    <r>
      <rPr>
        <sz val="10"/>
        <rFont val="Noto Sans CJK SC"/>
        <family val="2"/>
      </rPr>
      <t xml:space="preserve">후보 목표 합계 </t>
    </r>
    <r>
      <rPr>
        <sz val="10"/>
        <rFont val="맑은 고딕"/>
        <family val="0"/>
        <charset val="1"/>
      </rPr>
      <t xml:space="preserve">= 600</t>
    </r>
    <r>
      <rPr>
        <sz val="10"/>
        <rFont val="Noto Sans CJK SC"/>
        <family val="2"/>
      </rPr>
      <t xml:space="preserve">인가</t>
    </r>
  </si>
  <si>
    <r>
      <rPr>
        <sz val="10"/>
        <rFont val="Noto Sans CJK SC"/>
        <family val="2"/>
      </rPr>
      <t xml:space="preserve">코어 목표 합계 </t>
    </r>
    <r>
      <rPr>
        <sz val="10"/>
        <rFont val="맑은 고딕"/>
        <family val="0"/>
        <charset val="1"/>
      </rPr>
      <t xml:space="preserve">= 140</t>
    </r>
    <r>
      <rPr>
        <sz val="10"/>
        <rFont val="Noto Sans CJK SC"/>
        <family val="2"/>
      </rPr>
      <t xml:space="preserve">인가</t>
    </r>
  </si>
  <si>
    <r>
      <rPr>
        <sz val="10"/>
        <rFont val="Noto Sans CJK SC"/>
        <family val="2"/>
      </rPr>
      <t xml:space="preserve">실제 후보가 </t>
    </r>
    <r>
      <rPr>
        <sz val="10"/>
        <rFont val="맑은 고딕"/>
        <family val="0"/>
        <charset val="1"/>
      </rPr>
      <t xml:space="preserve">600 </t>
    </r>
    <r>
      <rPr>
        <sz val="10"/>
        <rFont val="Noto Sans CJK SC"/>
        <family val="2"/>
      </rPr>
      <t xml:space="preserve">이상인가</t>
    </r>
  </si>
  <si>
    <r>
      <rPr>
        <sz val="10"/>
        <rFont val="Noto Sans CJK SC"/>
        <family val="2"/>
      </rPr>
      <t xml:space="preserve">고위험 비중 </t>
    </r>
    <r>
      <rPr>
        <sz val="10"/>
        <rFont val="맑은 고딕"/>
        <family val="0"/>
        <charset val="1"/>
      </rPr>
      <t xml:space="preserve">25% </t>
    </r>
    <r>
      <rPr>
        <sz val="10"/>
        <rFont val="Noto Sans CJK SC"/>
        <family val="2"/>
      </rPr>
      <t xml:space="preserve">이상인가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공개 지표 ‘피해 위험 건수’ 분모 확보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</si>
  <si>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패널 구조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방법론 </t>
    </r>
    <r>
      <rPr>
        <b val="true"/>
        <sz val="10"/>
        <rFont val="맑은 고딕"/>
        <family val="0"/>
        <charset val="1"/>
      </rPr>
      <t xml:space="preserve">11.3)</t>
    </r>
  </si>
  <si>
    <r>
      <rPr>
        <sz val="10"/>
        <rFont val="Noto Sans CJK SC"/>
        <family val="2"/>
      </rPr>
      <t xml:space="preserve">코어 </t>
    </r>
    <r>
      <rPr>
        <sz val="10"/>
        <rFont val="맑은 고딕"/>
        <family val="0"/>
        <charset val="1"/>
      </rPr>
      <t xml:space="preserve">140 — </t>
    </r>
    <r>
      <rPr>
        <sz val="10"/>
        <rFont val="Noto Sans CJK SC"/>
        <family val="2"/>
      </rPr>
      <t xml:space="preserve">법정 공통 사무 템플릿</t>
    </r>
    <r>
      <rPr>
        <sz val="10"/>
        <rFont val="맑은 고딕"/>
        <family val="0"/>
        <charset val="1"/>
      </rPr>
      <t xml:space="preserve">, 226</t>
    </r>
    <r>
      <rPr>
        <sz val="10"/>
        <rFont val="Noto Sans CJK SC"/>
        <family val="2"/>
      </rPr>
      <t xml:space="preserve">곳 동일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버전 동결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분기 교체 </t>
    </r>
    <r>
      <rPr>
        <sz val="10"/>
        <rFont val="맑은 고딕"/>
        <family val="0"/>
        <charset val="1"/>
      </rPr>
      <t xml:space="preserve">10% </t>
    </r>
    <r>
      <rPr>
        <sz val="10"/>
        <rFont val="Noto Sans CJK SC"/>
        <family val="2"/>
      </rPr>
      <t xml:space="preserve">이하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앵커 </t>
    </r>
    <r>
      <rPr>
        <sz val="10"/>
        <rFont val="맑은 고딕"/>
        <family val="0"/>
        <charset val="1"/>
      </rPr>
      <t xml:space="preserve">100 </t>
    </r>
    <r>
      <rPr>
        <sz val="10"/>
        <rFont val="Noto Sans CJK SC"/>
        <family val="2"/>
      </rPr>
      <t xml:space="preserve">포함</t>
    </r>
  </si>
  <si>
    <r>
      <rPr>
        <sz val="10"/>
        <rFont val="Noto Sans CJK SC"/>
        <family val="2"/>
      </rPr>
      <t xml:space="preserve">광역 확장 </t>
    </r>
    <r>
      <rPr>
        <sz val="10"/>
        <rFont val="맑은 고딕"/>
        <family val="0"/>
        <charset val="1"/>
      </rPr>
      <t xml:space="preserve">40 — </t>
    </r>
    <r>
      <rPr>
        <sz val="10"/>
        <rFont val="Noto Sans CJK SC"/>
        <family val="2"/>
      </rPr>
      <t xml:space="preserve">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도별 특성 사무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도 협의체 검토 후 반기 교체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이 틀에서는 영역 </t>
    </r>
    <r>
      <rPr>
        <sz val="10"/>
        <rFont val="맑은 고딕"/>
        <family val="0"/>
        <charset val="1"/>
      </rPr>
      <t xml:space="preserve">A02·A07·A11</t>
    </r>
    <r>
      <rPr>
        <sz val="10"/>
        <rFont val="Noto Sans CJK SC"/>
        <family val="2"/>
      </rPr>
      <t xml:space="preserve">에 농어촌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도서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산업단지 변형을 붙여 생성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</si>
  <si>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회전 </t>
    </r>
    <r>
      <rPr>
        <sz val="10"/>
        <rFont val="맑은 고딕"/>
        <family val="0"/>
        <charset val="1"/>
      </rPr>
      <t xml:space="preserve">20 — </t>
    </r>
    <r>
      <rPr>
        <sz val="10"/>
        <rFont val="Noto Sans CJK SC"/>
        <family val="2"/>
      </rPr>
      <t xml:space="preserve">신고판 수요 자료에서 분기마다 새로 추출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이 틀의 ‘수요’ 원천 템플릿이 모집단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</si>
  <si>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질문 유형 분포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실제 후보</t>
    </r>
    <r>
      <rPr>
        <b val="true"/>
        <sz val="10"/>
        <rFont val="맑은 고딕"/>
        <family val="0"/>
        <charset val="1"/>
      </rPr>
      <t xml:space="preserve">)</t>
    </r>
  </si>
  <si>
    <t xml:space="preserve">유형</t>
  </si>
  <si>
    <t xml:space="preserve">실제 후보</t>
  </si>
  <si>
    <t xml:space="preserve">비중</t>
  </si>
  <si>
    <t xml:space="preserve">사실</t>
  </si>
  <si>
    <t xml:space="preserve">절차</t>
  </si>
  <si>
    <r>
      <rPr>
        <sz val="10"/>
        <rFont val="Noto Sans CJK SC"/>
        <family val="2"/>
      </rPr>
      <t xml:space="preserve">시간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장소</t>
    </r>
  </si>
  <si>
    <t xml:space="preserve">연락처</t>
  </si>
  <si>
    <t xml:space="preserve">금액</t>
  </si>
  <si>
    <r>
      <rPr>
        <b val="true"/>
        <sz val="14"/>
        <rFont val="Noto Sans CJK SC"/>
        <family val="2"/>
      </rPr>
      <t xml:space="preserve">법정 공통 사무 목록 — 모든 기초지자체가 동일하게 수행하되 답은 지자체마다 다른 사무 </t>
    </r>
    <r>
      <rPr>
        <b val="true"/>
        <sz val="14"/>
        <rFont val="맑은 고딕"/>
        <family val="0"/>
        <charset val="1"/>
      </rPr>
      <t xml:space="preserve">48</t>
    </r>
    <r>
      <rPr>
        <b val="true"/>
        <sz val="14"/>
        <rFont val="Noto Sans CJK SC"/>
        <family val="2"/>
      </rPr>
      <t xml:space="preserve">개</t>
    </r>
  </si>
  <si>
    <r>
      <rPr>
        <b val="true"/>
        <sz val="10"/>
        <color rgb="FFFFFFFF"/>
        <rFont val="Noto Sans CJK SC"/>
        <family val="2"/>
      </rPr>
      <t xml:space="preserve">사무</t>
    </r>
    <r>
      <rPr>
        <b val="true"/>
        <sz val="10"/>
        <color rgb="FFFFFFFF"/>
        <rFont val="맑은 고딕"/>
        <family val="0"/>
        <charset val="1"/>
      </rPr>
      <t xml:space="preserve">ID</t>
    </r>
  </si>
  <si>
    <t xml:space="preserve">사무명</t>
  </si>
  <si>
    <r>
      <rPr>
        <b val="true"/>
        <sz val="10"/>
        <color rgb="FFFFFFFF"/>
        <rFont val="Noto Sans CJK SC"/>
        <family val="2"/>
      </rPr>
      <t xml:space="preserve">근거 법령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제도</t>
    </r>
  </si>
  <si>
    <t xml:space="preserve">기본 위험</t>
  </si>
  <si>
    <r>
      <rPr>
        <b val="true"/>
        <sz val="10"/>
        <color rgb="FFFFFFFF"/>
        <rFont val="Noto Sans CJK SC"/>
        <family val="2"/>
      </rPr>
      <t xml:space="preserve">지자체별 상이 요소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변별력 근거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</si>
  <si>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정답 근거 문서 유형</t>
  </si>
  <si>
    <t xml:space="preserve">후보 수</t>
  </si>
  <si>
    <t xml:space="preserve">S01</t>
  </si>
  <si>
    <t xml:space="preserve">전입신고</t>
  </si>
  <si>
    <r>
      <rPr>
        <sz val="10"/>
        <rFont val="Noto Sans CJK SC"/>
        <family val="2"/>
      </rPr>
      <t xml:space="preserve">주민등록법 제</t>
    </r>
    <r>
      <rPr>
        <sz val="10"/>
        <rFont val="맑은 고딕"/>
        <family val="0"/>
        <charset val="1"/>
      </rPr>
      <t xml:space="preserve">16</t>
    </r>
    <r>
      <rPr>
        <sz val="10"/>
        <rFont val="Noto Sans CJK SC"/>
        <family val="2"/>
      </rPr>
      <t xml:space="preserve">조</t>
    </r>
  </si>
  <si>
    <t xml:space="preserve">중</t>
  </si>
  <si>
    <r>
      <rPr>
        <sz val="10"/>
        <rFont val="Noto Sans CJK SC"/>
        <family val="2"/>
      </rPr>
      <t xml:space="preserve">접수처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처리시간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온라인 가능 여부</t>
    </r>
  </si>
  <si>
    <r>
      <rPr>
        <sz val="10"/>
        <rFont val="Noto Sans CJK SC"/>
        <family val="2"/>
      </rPr>
      <t xml:space="preserve">민원 안내 페이지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민원편람</t>
    </r>
  </si>
  <si>
    <t xml:space="preserve">S02</t>
  </si>
  <si>
    <r>
      <rPr>
        <sz val="10"/>
        <rFont val="Noto Sans CJK SC"/>
        <family val="2"/>
      </rPr>
      <t xml:space="preserve">주민등록등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초본 발급</t>
    </r>
  </si>
  <si>
    <r>
      <rPr>
        <sz val="10"/>
        <rFont val="Noto Sans CJK SC"/>
        <family val="2"/>
      </rPr>
      <t xml:space="preserve">주민등록법 제</t>
    </r>
    <r>
      <rPr>
        <sz val="10"/>
        <rFont val="맑은 고딕"/>
        <family val="0"/>
        <charset val="1"/>
      </rPr>
      <t xml:space="preserve">29</t>
    </r>
    <r>
      <rPr>
        <sz val="10"/>
        <rFont val="Noto Sans CJK SC"/>
        <family val="2"/>
      </rPr>
      <t xml:space="preserve">조</t>
    </r>
  </si>
  <si>
    <t xml:space="preserve">저</t>
  </si>
  <si>
    <r>
      <rPr>
        <sz val="10"/>
        <rFont val="Noto Sans CJK SC"/>
        <family val="2"/>
      </rPr>
      <t xml:space="preserve">무인발급기 위치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수수료 감면</t>
    </r>
  </si>
  <si>
    <t xml:space="preserve">민원 안내 페이지</t>
  </si>
  <si>
    <t xml:space="preserve">S03</t>
  </si>
  <si>
    <r>
      <rPr>
        <sz val="10"/>
        <rFont val="Noto Sans CJK SC"/>
        <family val="2"/>
      </rPr>
      <t xml:space="preserve">인감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본인서명사실확인</t>
    </r>
  </si>
  <si>
    <t xml:space="preserve">인감증명법</t>
  </si>
  <si>
    <r>
      <rPr>
        <sz val="10"/>
        <rFont val="Noto Sans CJK SC"/>
        <family val="2"/>
      </rPr>
      <t xml:space="preserve">신고 장소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대리 요건</t>
    </r>
  </si>
  <si>
    <t xml:space="preserve">S04</t>
  </si>
  <si>
    <t xml:space="preserve">여권 발급</t>
  </si>
  <si>
    <r>
      <rPr>
        <sz val="10"/>
        <rFont val="Noto Sans CJK SC"/>
        <family val="2"/>
      </rPr>
      <t xml:space="preserve">여권법 제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조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사무 위임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</si>
  <si>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접수 장소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시간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소요일</t>
    </r>
  </si>
  <si>
    <t xml:space="preserve">여권 민원실 안내</t>
  </si>
  <si>
    <t xml:space="preserve">S05</t>
  </si>
  <si>
    <t xml:space="preserve">생활쓰레기 배출</t>
  </si>
  <si>
    <r>
      <rPr>
        <sz val="10"/>
        <rFont val="Noto Sans CJK SC"/>
        <family val="2"/>
      </rPr>
      <t xml:space="preserve">폐기물관리법 제</t>
    </r>
    <r>
      <rPr>
        <sz val="10"/>
        <rFont val="맑은 고딕"/>
        <family val="0"/>
        <charset val="1"/>
      </rPr>
      <t xml:space="preserve">15</t>
    </r>
    <r>
      <rPr>
        <sz val="10"/>
        <rFont val="Noto Sans CJK SC"/>
        <family val="2"/>
      </rPr>
      <t xml:space="preserve">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조례</t>
    </r>
  </si>
  <si>
    <r>
      <rPr>
        <sz val="10"/>
        <rFont val="Noto Sans CJK SC"/>
        <family val="2"/>
      </rPr>
      <t xml:space="preserve">배출 요일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시간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장소</t>
    </r>
  </si>
  <si>
    <r>
      <rPr>
        <sz val="10"/>
        <rFont val="Noto Sans CJK SC"/>
        <family val="2"/>
      </rPr>
      <t xml:space="preserve">청소 안내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조례</t>
    </r>
  </si>
  <si>
    <t xml:space="preserve">S06</t>
  </si>
  <si>
    <t xml:space="preserve">대형폐기물 배출</t>
  </si>
  <si>
    <r>
      <rPr>
        <sz val="10"/>
        <rFont val="Noto Sans CJK SC"/>
        <family val="2"/>
      </rPr>
      <t xml:space="preserve">폐기물관리법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수수료 조례</t>
    </r>
  </si>
  <si>
    <r>
      <rPr>
        <sz val="10"/>
        <rFont val="Noto Sans CJK SC"/>
        <family val="2"/>
      </rPr>
      <t xml:space="preserve">품목별 수수료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신고 방법</t>
    </r>
  </si>
  <si>
    <r>
      <rPr>
        <sz val="10"/>
        <rFont val="Noto Sans CJK SC"/>
        <family val="2"/>
      </rPr>
      <t xml:space="preserve">수수료 고시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안내</t>
    </r>
  </si>
  <si>
    <t xml:space="preserve">S07</t>
  </si>
  <si>
    <t xml:space="preserve">음식물쓰레기 배출</t>
  </si>
  <si>
    <r>
      <rPr>
        <sz val="10"/>
        <rFont val="Noto Sans CJK SC"/>
        <family val="2"/>
      </rPr>
      <t xml:space="preserve">폐기물관리법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조례</t>
    </r>
  </si>
  <si>
    <r>
      <rPr>
        <sz val="10"/>
        <rFont val="Noto Sans CJK SC"/>
        <family val="2"/>
      </rPr>
      <t xml:space="preserve">용기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요일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종량제 방식</t>
    </r>
  </si>
  <si>
    <t xml:space="preserve">청소 안내</t>
  </si>
  <si>
    <t xml:space="preserve">S08</t>
  </si>
  <si>
    <t xml:space="preserve">종량제 봉투</t>
  </si>
  <si>
    <r>
      <rPr>
        <sz val="10"/>
        <rFont val="Noto Sans CJK SC"/>
        <family val="2"/>
      </rPr>
      <t xml:space="preserve">용량별 가격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판매처</t>
    </r>
  </si>
  <si>
    <r>
      <rPr>
        <sz val="10"/>
        <rFont val="Noto Sans CJK SC"/>
        <family val="2"/>
      </rPr>
      <t xml:space="preserve">조례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고시</t>
    </r>
  </si>
  <si>
    <t xml:space="preserve">S09</t>
  </si>
  <si>
    <t xml:space="preserve">불법 주정차 단속</t>
  </si>
  <si>
    <r>
      <rPr>
        <sz val="10"/>
        <rFont val="Noto Sans CJK SC"/>
        <family val="2"/>
      </rPr>
      <t xml:space="preserve">도로교통법 제</t>
    </r>
    <r>
      <rPr>
        <sz val="10"/>
        <rFont val="맑은 고딕"/>
        <family val="0"/>
        <charset val="1"/>
      </rPr>
      <t xml:space="preserve">32</t>
    </r>
    <r>
      <rPr>
        <sz val="10"/>
        <rFont val="Noto Sans CJK SC"/>
        <family val="2"/>
      </rPr>
      <t xml:space="preserve">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조례</t>
    </r>
  </si>
  <si>
    <t xml:space="preserve">고</t>
  </si>
  <si>
    <r>
      <rPr>
        <sz val="10"/>
        <rFont val="Noto Sans CJK SC"/>
        <family val="2"/>
      </rPr>
      <t xml:space="preserve">단속 시간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과태료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신고 앱</t>
    </r>
  </si>
  <si>
    <r>
      <rPr>
        <sz val="10"/>
        <rFont val="Noto Sans CJK SC"/>
        <family val="2"/>
      </rPr>
      <t xml:space="preserve">교통 안내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조례</t>
    </r>
  </si>
  <si>
    <t xml:space="preserve">S10</t>
  </si>
  <si>
    <t xml:space="preserve">거주자우선주차</t>
  </si>
  <si>
    <r>
      <rPr>
        <sz val="10"/>
        <rFont val="Noto Sans CJK SC"/>
        <family val="2"/>
      </rPr>
      <t xml:space="preserve">주차장법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조례</t>
    </r>
  </si>
  <si>
    <r>
      <rPr>
        <sz val="10"/>
        <rFont val="Noto Sans CJK SC"/>
        <family val="2"/>
      </rPr>
      <t xml:space="preserve">신청 자격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요금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배정 시기</t>
    </r>
  </si>
  <si>
    <r>
      <rPr>
        <sz val="10"/>
        <rFont val="Noto Sans CJK SC"/>
        <family val="2"/>
      </rPr>
      <t xml:space="preserve">주차 조례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안내</t>
    </r>
  </si>
  <si>
    <t xml:space="preserve">S11</t>
  </si>
  <si>
    <t xml:space="preserve">공영주차장</t>
  </si>
  <si>
    <r>
      <rPr>
        <sz val="10"/>
        <rFont val="Noto Sans CJK SC"/>
        <family val="2"/>
      </rPr>
      <t xml:space="preserve">요금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운영시간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감면</t>
    </r>
  </si>
  <si>
    <t xml:space="preserve">주차장 요금 조례</t>
  </si>
  <si>
    <t xml:space="preserve">S12</t>
  </si>
  <si>
    <r>
      <rPr>
        <sz val="10"/>
        <rFont val="Noto Sans CJK SC"/>
        <family val="2"/>
      </rPr>
      <t xml:space="preserve">견인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보관소</t>
    </r>
  </si>
  <si>
    <r>
      <rPr>
        <sz val="10"/>
        <rFont val="Noto Sans CJK SC"/>
        <family val="2"/>
      </rPr>
      <t xml:space="preserve">도로교통법 제</t>
    </r>
    <r>
      <rPr>
        <sz val="10"/>
        <rFont val="맑은 고딕"/>
        <family val="0"/>
        <charset val="1"/>
      </rPr>
      <t xml:space="preserve">35</t>
    </r>
    <r>
      <rPr>
        <sz val="10"/>
        <rFont val="Noto Sans CJK SC"/>
        <family val="2"/>
      </rPr>
      <t xml:space="preserve">조</t>
    </r>
  </si>
  <si>
    <r>
      <rPr>
        <sz val="10"/>
        <rFont val="Noto Sans CJK SC"/>
        <family val="2"/>
      </rPr>
      <t xml:space="preserve">보관소 위치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반환 절차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비용</t>
    </r>
  </si>
  <si>
    <t xml:space="preserve">교통 안내</t>
  </si>
  <si>
    <t xml:space="preserve">S13</t>
  </si>
  <si>
    <r>
      <rPr>
        <sz val="10"/>
        <rFont val="Noto Sans CJK SC"/>
        <family val="2"/>
      </rPr>
      <t xml:space="preserve">보건소 진료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검사</t>
    </r>
  </si>
  <si>
    <t xml:space="preserve">지역보건법</t>
  </si>
  <si>
    <r>
      <rPr>
        <sz val="10"/>
        <rFont val="Noto Sans CJK SC"/>
        <family val="2"/>
      </rPr>
      <t xml:space="preserve">진료 시간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항목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비용</t>
    </r>
  </si>
  <si>
    <t xml:space="preserve">보건소 안내</t>
  </si>
  <si>
    <t xml:space="preserve">S14</t>
  </si>
  <si>
    <t xml:space="preserve">예방접종</t>
  </si>
  <si>
    <r>
      <rPr>
        <sz val="10"/>
        <rFont val="Noto Sans CJK SC"/>
        <family val="2"/>
      </rPr>
      <t xml:space="preserve">감염병예방법 제</t>
    </r>
    <r>
      <rPr>
        <sz val="10"/>
        <rFont val="맑은 고딕"/>
        <family val="0"/>
        <charset val="1"/>
      </rPr>
      <t xml:space="preserve">24</t>
    </r>
    <r>
      <rPr>
        <sz val="10"/>
        <rFont val="Noto Sans CJK SC"/>
        <family val="2"/>
      </rPr>
      <t xml:space="preserve">조</t>
    </r>
  </si>
  <si>
    <r>
      <rPr>
        <sz val="10"/>
        <rFont val="Noto Sans CJK SC"/>
        <family val="2"/>
      </rPr>
      <t xml:space="preserve">접종 장소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일정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대상</t>
    </r>
  </si>
  <si>
    <r>
      <rPr>
        <sz val="10"/>
        <rFont val="Noto Sans CJK SC"/>
        <family val="2"/>
      </rPr>
      <t xml:space="preserve">보건소 안내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공지</t>
    </r>
  </si>
  <si>
    <t xml:space="preserve">S15</t>
  </si>
  <si>
    <t xml:space="preserve">치매안심센터</t>
  </si>
  <si>
    <r>
      <rPr>
        <sz val="10"/>
        <rFont val="Noto Sans CJK SC"/>
        <family val="2"/>
      </rPr>
      <t xml:space="preserve">치매관리법 제</t>
    </r>
    <r>
      <rPr>
        <sz val="10"/>
        <rFont val="맑은 고딕"/>
        <family val="0"/>
        <charset val="1"/>
      </rPr>
      <t xml:space="preserve">17</t>
    </r>
    <r>
      <rPr>
        <sz val="10"/>
        <rFont val="Noto Sans CJK SC"/>
        <family val="2"/>
      </rPr>
      <t xml:space="preserve">조</t>
    </r>
  </si>
  <si>
    <r>
      <rPr>
        <sz val="10"/>
        <rFont val="Noto Sans CJK SC"/>
        <family val="2"/>
      </rPr>
      <t xml:space="preserve">위치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검사 대상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비용</t>
    </r>
  </si>
  <si>
    <t xml:space="preserve">센터 안내</t>
  </si>
  <si>
    <t xml:space="preserve">S16</t>
  </si>
  <si>
    <r>
      <rPr>
        <sz val="10"/>
        <rFont val="Noto Sans CJK SC"/>
        <family val="2"/>
      </rPr>
      <t xml:space="preserve">야간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휴일 의료</t>
    </r>
  </si>
  <si>
    <r>
      <rPr>
        <sz val="10"/>
        <rFont val="Noto Sans CJK SC"/>
        <family val="2"/>
      </rPr>
      <t xml:space="preserve">응급의료법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약사법</t>
    </r>
  </si>
  <si>
    <r>
      <rPr>
        <sz val="10"/>
        <rFont val="Noto Sans CJK SC"/>
        <family val="2"/>
      </rPr>
      <t xml:space="preserve">당번 약국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야간 진료 기관</t>
    </r>
  </si>
  <si>
    <t xml:space="preserve">지자체 공지</t>
  </si>
  <si>
    <t xml:space="preserve">S17</t>
  </si>
  <si>
    <r>
      <rPr>
        <sz val="10"/>
        <rFont val="Noto Sans CJK SC"/>
        <family val="2"/>
      </rPr>
      <t xml:space="preserve">기초연금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수당 신청</t>
    </r>
  </si>
  <si>
    <r>
      <rPr>
        <sz val="10"/>
        <rFont val="Noto Sans CJK SC"/>
        <family val="2"/>
      </rPr>
      <t xml:space="preserve">기초연금법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아동수당법</t>
    </r>
  </si>
  <si>
    <r>
      <rPr>
        <sz val="10"/>
        <rFont val="Noto Sans CJK SC"/>
        <family val="2"/>
      </rPr>
      <t xml:space="preserve">신청 장소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서류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담당</t>
    </r>
  </si>
  <si>
    <t xml:space="preserve">복지 안내</t>
  </si>
  <si>
    <t xml:space="preserve">S18</t>
  </si>
  <si>
    <t xml:space="preserve">긴급복지 지원</t>
  </si>
  <si>
    <t xml:space="preserve">긴급복지지원법</t>
  </si>
  <si>
    <r>
      <rPr>
        <sz val="10"/>
        <rFont val="Noto Sans CJK SC"/>
        <family val="2"/>
      </rPr>
      <t xml:space="preserve">신청 경로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지원 내용</t>
    </r>
  </si>
  <si>
    <t xml:space="preserve">S19</t>
  </si>
  <si>
    <r>
      <rPr>
        <sz val="10"/>
        <rFont val="Noto Sans CJK SC"/>
        <family val="2"/>
      </rPr>
      <t xml:space="preserve">노인 일자리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경로당</t>
    </r>
  </si>
  <si>
    <t xml:space="preserve">노인복지법</t>
  </si>
  <si>
    <r>
      <rPr>
        <sz val="10"/>
        <rFont val="Noto Sans CJK SC"/>
        <family val="2"/>
      </rPr>
      <t xml:space="preserve">모집 시기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경로당 지원</t>
    </r>
  </si>
  <si>
    <r>
      <rPr>
        <sz val="10"/>
        <rFont val="Noto Sans CJK SC"/>
        <family val="2"/>
      </rPr>
      <t xml:space="preserve">복지 안내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공고</t>
    </r>
  </si>
  <si>
    <t xml:space="preserve">S20</t>
  </si>
  <si>
    <t xml:space="preserve">장애인 복지 서비스</t>
  </si>
  <si>
    <t xml:space="preserve">장애인복지법</t>
  </si>
  <si>
    <r>
      <rPr>
        <sz val="10"/>
        <rFont val="Noto Sans CJK SC"/>
        <family val="2"/>
      </rPr>
      <t xml:space="preserve">이동지원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활동지원 신청처</t>
    </r>
  </si>
  <si>
    <t xml:space="preserve">S21</t>
  </si>
  <si>
    <t xml:space="preserve">지방세 납부</t>
  </si>
  <si>
    <r>
      <rPr>
        <sz val="10"/>
        <rFont val="Noto Sans CJK SC"/>
        <family val="2"/>
      </rPr>
      <t xml:space="preserve">지방세법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지방세징수법</t>
    </r>
  </si>
  <si>
    <r>
      <rPr>
        <sz val="10"/>
        <rFont val="Noto Sans CJK SC"/>
        <family val="2"/>
      </rPr>
      <t xml:space="preserve">납부 기한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방법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분납</t>
    </r>
  </si>
  <si>
    <t xml:space="preserve">세무과 안내</t>
  </si>
  <si>
    <t xml:space="preserve">S22</t>
  </si>
  <si>
    <t xml:space="preserve">상하수도 요금</t>
  </si>
  <si>
    <r>
      <rPr>
        <sz val="10"/>
        <rFont val="Noto Sans CJK SC"/>
        <family val="2"/>
      </rPr>
      <t xml:space="preserve">수도법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조례</t>
    </r>
  </si>
  <si>
    <r>
      <rPr>
        <sz val="10"/>
        <rFont val="Noto Sans CJK SC"/>
        <family val="2"/>
      </rPr>
      <t xml:space="preserve">요금 단가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감면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신고</t>
    </r>
  </si>
  <si>
    <t xml:space="preserve">상하수도 요금 조례</t>
  </si>
  <si>
    <t xml:space="preserve">S23</t>
  </si>
  <si>
    <r>
      <rPr>
        <sz val="10"/>
        <rFont val="Noto Sans CJK SC"/>
        <family val="2"/>
      </rPr>
      <t xml:space="preserve">과태료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환급</t>
    </r>
  </si>
  <si>
    <r>
      <rPr>
        <sz val="10"/>
        <rFont val="Noto Sans CJK SC"/>
        <family val="2"/>
      </rPr>
      <t xml:space="preserve">질서위반행위규제법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지방세기본법</t>
    </r>
  </si>
  <si>
    <r>
      <rPr>
        <sz val="10"/>
        <rFont val="Noto Sans CJK SC"/>
        <family val="2"/>
      </rPr>
      <t xml:space="preserve">이의신청 기한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환급 절차</t>
    </r>
  </si>
  <si>
    <t xml:space="preserve">안내 페이지</t>
  </si>
  <si>
    <t xml:space="preserve">S24</t>
  </si>
  <si>
    <r>
      <rPr>
        <sz val="10"/>
        <rFont val="Noto Sans CJK SC"/>
        <family val="2"/>
      </rPr>
      <t xml:space="preserve">지역화폐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감면</t>
    </r>
  </si>
  <si>
    <r>
      <rPr>
        <sz val="10"/>
        <rFont val="Noto Sans CJK SC"/>
        <family val="2"/>
      </rPr>
      <t xml:space="preserve">지역사랑상품권법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조례</t>
    </r>
  </si>
  <si>
    <r>
      <rPr>
        <sz val="10"/>
        <rFont val="Noto Sans CJK SC"/>
        <family val="2"/>
      </rPr>
      <t xml:space="preserve">할인율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구매 한도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가맹</t>
    </r>
  </si>
  <si>
    <r>
      <rPr>
        <sz val="10"/>
        <rFont val="Noto Sans CJK SC"/>
        <family val="2"/>
      </rPr>
      <t xml:space="preserve">조례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공지</t>
    </r>
  </si>
  <si>
    <t xml:space="preserve">S25</t>
  </si>
  <si>
    <r>
      <rPr>
        <sz val="10"/>
        <rFont val="Noto Sans CJK SC"/>
        <family val="2"/>
      </rPr>
      <t xml:space="preserve">대피소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재난 안내</t>
    </r>
  </si>
  <si>
    <r>
      <rPr>
        <sz val="10"/>
        <rFont val="Noto Sans CJK SC"/>
        <family val="2"/>
      </rPr>
      <t xml:space="preserve">재난안전법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민방위기본법</t>
    </r>
  </si>
  <si>
    <r>
      <rPr>
        <sz val="10"/>
        <rFont val="Noto Sans CJK SC"/>
        <family val="2"/>
      </rPr>
      <t xml:space="preserve">대피소 위치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재난문자 수신</t>
    </r>
  </si>
  <si>
    <t xml:space="preserve">재난 안내 페이지</t>
  </si>
  <si>
    <t xml:space="preserve">S26</t>
  </si>
  <si>
    <t xml:space="preserve">민방위 교육</t>
  </si>
  <si>
    <r>
      <rPr>
        <sz val="10"/>
        <rFont val="Noto Sans CJK SC"/>
        <family val="2"/>
      </rPr>
      <t xml:space="preserve">민방위기본법 제</t>
    </r>
    <r>
      <rPr>
        <sz val="10"/>
        <rFont val="맑은 고딕"/>
        <family val="0"/>
        <charset val="1"/>
      </rPr>
      <t xml:space="preserve">14</t>
    </r>
    <r>
      <rPr>
        <sz val="10"/>
        <rFont val="Noto Sans CJK SC"/>
        <family val="2"/>
      </rPr>
      <t xml:space="preserve">조</t>
    </r>
  </si>
  <si>
    <r>
      <rPr>
        <sz val="10"/>
        <rFont val="Noto Sans CJK SC"/>
        <family val="2"/>
      </rPr>
      <t xml:space="preserve">교육 일정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장소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불참 처리</t>
    </r>
  </si>
  <si>
    <t xml:space="preserve">민방위 공고</t>
  </si>
  <si>
    <t xml:space="preserve">S27</t>
  </si>
  <si>
    <r>
      <rPr>
        <sz val="10"/>
        <rFont val="Noto Sans CJK SC"/>
        <family val="2"/>
      </rPr>
      <t xml:space="preserve">풍수해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안전 보험</t>
    </r>
  </si>
  <si>
    <t xml:space="preserve">풍수해보험법</t>
  </si>
  <si>
    <r>
      <rPr>
        <sz val="10"/>
        <rFont val="Noto Sans CJK SC"/>
        <family val="2"/>
      </rPr>
      <t xml:space="preserve">가입 지원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대상</t>
    </r>
  </si>
  <si>
    <t xml:space="preserve">안전 안내</t>
  </si>
  <si>
    <t xml:space="preserve">S28</t>
  </si>
  <si>
    <t xml:space="preserve">안전 신고</t>
  </si>
  <si>
    <r>
      <rPr>
        <sz val="10"/>
        <rFont val="Noto Sans CJK SC"/>
        <family val="2"/>
      </rPr>
      <t xml:space="preserve">재난안전법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안전신문고</t>
    </r>
  </si>
  <si>
    <r>
      <rPr>
        <sz val="10"/>
        <rFont val="Noto Sans CJK SC"/>
        <family val="2"/>
      </rPr>
      <t xml:space="preserve">신고 채널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처리 기한</t>
    </r>
  </si>
  <si>
    <t xml:space="preserve">S29</t>
  </si>
  <si>
    <t xml:space="preserve">어린이집 입소</t>
  </si>
  <si>
    <t xml:space="preserve">영유아보육법</t>
  </si>
  <si>
    <r>
      <rPr>
        <sz val="10"/>
        <rFont val="Noto Sans CJK SC"/>
        <family val="2"/>
      </rPr>
      <t xml:space="preserve">입소 대기 신청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우선순위</t>
    </r>
  </si>
  <si>
    <t xml:space="preserve">보육 안내</t>
  </si>
  <si>
    <t xml:space="preserve">S30</t>
  </si>
  <si>
    <t xml:space="preserve">육아종합지원센터</t>
  </si>
  <si>
    <r>
      <rPr>
        <sz val="10"/>
        <rFont val="Noto Sans CJK SC"/>
        <family val="2"/>
      </rPr>
      <t xml:space="preserve">영유아보육법 제</t>
    </r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조</t>
    </r>
  </si>
  <si>
    <r>
      <rPr>
        <sz val="10"/>
        <rFont val="Noto Sans CJK SC"/>
        <family val="2"/>
      </rPr>
      <t xml:space="preserve">장난감 대여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프로그램</t>
    </r>
  </si>
  <si>
    <t xml:space="preserve">S31</t>
  </si>
  <si>
    <r>
      <rPr>
        <sz val="10"/>
        <rFont val="Noto Sans CJK SC"/>
        <family val="2"/>
      </rPr>
      <t xml:space="preserve">평생학습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청소년</t>
    </r>
  </si>
  <si>
    <r>
      <rPr>
        <sz val="10"/>
        <rFont val="Noto Sans CJK SC"/>
        <family val="2"/>
      </rPr>
      <t xml:space="preserve">평생교육법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청소년기본법</t>
    </r>
  </si>
  <si>
    <r>
      <rPr>
        <sz val="10"/>
        <rFont val="Noto Sans CJK SC"/>
        <family val="2"/>
      </rPr>
      <t xml:space="preserve">수강 신청 시기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시설 위치</t>
    </r>
  </si>
  <si>
    <t xml:space="preserve">수강 안내</t>
  </si>
  <si>
    <t xml:space="preserve">S32</t>
  </si>
  <si>
    <r>
      <rPr>
        <sz val="10"/>
        <rFont val="Noto Sans CJK SC"/>
        <family val="2"/>
      </rPr>
      <t xml:space="preserve">학교 밖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교육 지원</t>
    </r>
  </si>
  <si>
    <r>
      <rPr>
        <sz val="10"/>
        <rFont val="Noto Sans CJK SC"/>
        <family val="2"/>
      </rPr>
      <t xml:space="preserve">교육기본법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조례</t>
    </r>
  </si>
  <si>
    <r>
      <rPr>
        <sz val="10"/>
        <rFont val="Noto Sans CJK SC"/>
        <family val="2"/>
      </rPr>
      <t xml:space="preserve">교육경비 지원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장학</t>
    </r>
  </si>
  <si>
    <r>
      <rPr>
        <sz val="10"/>
        <rFont val="Noto Sans CJK SC"/>
        <family val="2"/>
      </rPr>
      <t xml:space="preserve">조례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공고</t>
    </r>
  </si>
  <si>
    <t xml:space="preserve">S33</t>
  </si>
  <si>
    <t xml:space="preserve">공공도서관</t>
  </si>
  <si>
    <t xml:space="preserve">도서관법</t>
  </si>
  <si>
    <r>
      <rPr>
        <sz val="10"/>
        <rFont val="Noto Sans CJK SC"/>
        <family val="2"/>
      </rPr>
      <t xml:space="preserve">대출 권수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기간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휴관일</t>
    </r>
  </si>
  <si>
    <t xml:space="preserve">도서관 안내</t>
  </si>
  <si>
    <t xml:space="preserve">S34</t>
  </si>
  <si>
    <r>
      <rPr>
        <sz val="10"/>
        <rFont val="Noto Sans CJK SC"/>
        <family val="2"/>
      </rPr>
      <t xml:space="preserve">문화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공연 시설</t>
    </r>
  </si>
  <si>
    <r>
      <rPr>
        <sz val="10"/>
        <rFont val="Noto Sans CJK SC"/>
        <family val="2"/>
      </rPr>
      <t xml:space="preserve">문화예술진흥법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조례</t>
    </r>
  </si>
  <si>
    <r>
      <rPr>
        <sz val="10"/>
        <rFont val="Noto Sans CJK SC"/>
        <family val="2"/>
      </rPr>
      <t xml:space="preserve">대관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공연 일정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요금</t>
    </r>
  </si>
  <si>
    <t xml:space="preserve">시설 안내</t>
  </si>
  <si>
    <t xml:space="preserve">S35</t>
  </si>
  <si>
    <t xml:space="preserve">지역 축제</t>
  </si>
  <si>
    <t xml:space="preserve">지역문화진흥법</t>
  </si>
  <si>
    <r>
      <rPr>
        <sz val="10"/>
        <rFont val="Noto Sans CJK SC"/>
        <family val="2"/>
      </rPr>
      <t xml:space="preserve">일정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장소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주최</t>
    </r>
  </si>
  <si>
    <t xml:space="preserve">축제 공지</t>
  </si>
  <si>
    <t xml:space="preserve">S36</t>
  </si>
  <si>
    <r>
      <rPr>
        <sz val="10"/>
        <rFont val="Noto Sans CJK SC"/>
        <family val="2"/>
      </rPr>
      <t xml:space="preserve">관광 안내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체육시설</t>
    </r>
  </si>
  <si>
    <r>
      <rPr>
        <sz val="10"/>
        <rFont val="Noto Sans CJK SC"/>
        <family val="2"/>
      </rPr>
      <t xml:space="preserve">관광진흥법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체육시설법</t>
    </r>
  </si>
  <si>
    <r>
      <rPr>
        <sz val="10"/>
        <rFont val="Noto Sans CJK SC"/>
        <family val="2"/>
      </rPr>
      <t xml:space="preserve">안내소 위치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수강 신청</t>
    </r>
  </si>
  <si>
    <r>
      <rPr>
        <sz val="10"/>
        <rFont val="Noto Sans CJK SC"/>
        <family val="2"/>
      </rPr>
      <t xml:space="preserve">관광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체육 안내</t>
    </r>
  </si>
  <si>
    <t xml:space="preserve">S37</t>
  </si>
  <si>
    <r>
      <rPr>
        <sz val="10"/>
        <rFont val="Noto Sans CJK SC"/>
        <family val="2"/>
      </rPr>
      <t xml:space="preserve">건축 인허가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신고</t>
    </r>
  </si>
  <si>
    <t xml:space="preserve">건축법</t>
  </si>
  <si>
    <r>
      <rPr>
        <sz val="10"/>
        <rFont val="Noto Sans CJK SC"/>
        <family val="2"/>
      </rPr>
      <t xml:space="preserve">접수처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처리 기간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수수료</t>
    </r>
  </si>
  <si>
    <t xml:space="preserve">건축과 안내</t>
  </si>
  <si>
    <t xml:space="preserve">S38</t>
  </si>
  <si>
    <t xml:space="preserve">공동주택 지원</t>
  </si>
  <si>
    <r>
      <rPr>
        <sz val="10"/>
        <rFont val="Noto Sans CJK SC"/>
        <family val="2"/>
      </rPr>
      <t xml:space="preserve">공동주택관리법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조례</t>
    </r>
  </si>
  <si>
    <r>
      <rPr>
        <sz val="10"/>
        <rFont val="Noto Sans CJK SC"/>
        <family val="2"/>
      </rPr>
      <t xml:space="preserve">지원 사업 대상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신청 시기</t>
    </r>
  </si>
  <si>
    <t xml:space="preserve">S39</t>
  </si>
  <si>
    <r>
      <rPr>
        <sz val="10"/>
        <rFont val="Noto Sans CJK SC"/>
        <family val="2"/>
      </rPr>
      <t xml:space="preserve">전세 피해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주거 상담</t>
    </r>
  </si>
  <si>
    <r>
      <rPr>
        <sz val="10"/>
        <rFont val="Noto Sans CJK SC"/>
        <family val="2"/>
      </rPr>
      <t xml:space="preserve">전세사기피해자법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주거기본법</t>
    </r>
  </si>
  <si>
    <r>
      <rPr>
        <sz val="10"/>
        <rFont val="Noto Sans CJK SC"/>
        <family val="2"/>
      </rPr>
      <t xml:space="preserve">상담 창구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지원</t>
    </r>
  </si>
  <si>
    <t xml:space="preserve">주거 안내</t>
  </si>
  <si>
    <t xml:space="preserve">S40</t>
  </si>
  <si>
    <r>
      <rPr>
        <sz val="10"/>
        <rFont val="Noto Sans CJK SC"/>
        <family val="2"/>
      </rPr>
      <t xml:space="preserve">공공임대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주거급여</t>
    </r>
  </si>
  <si>
    <r>
      <rPr>
        <sz val="10"/>
        <rFont val="Noto Sans CJK SC"/>
        <family val="2"/>
      </rPr>
      <t xml:space="preserve">공공주택특별법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주거급여법</t>
    </r>
  </si>
  <si>
    <r>
      <rPr>
        <sz val="10"/>
        <rFont val="Noto Sans CJK SC"/>
        <family val="2"/>
      </rPr>
      <t xml:space="preserve">신청처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대상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일정</t>
    </r>
  </si>
  <si>
    <r>
      <rPr>
        <sz val="10"/>
        <rFont val="Noto Sans CJK SC"/>
        <family val="2"/>
      </rPr>
      <t xml:space="preserve">주거 안내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공고</t>
    </r>
  </si>
  <si>
    <t xml:space="preserve">S41</t>
  </si>
  <si>
    <t xml:space="preserve">소상공인 지원</t>
  </si>
  <si>
    <r>
      <rPr>
        <sz val="10"/>
        <rFont val="Noto Sans CJK SC"/>
        <family val="2"/>
      </rPr>
      <t xml:space="preserve">소상공인기본법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조례</t>
    </r>
  </si>
  <si>
    <r>
      <rPr>
        <sz val="10"/>
        <rFont val="Noto Sans CJK SC"/>
        <family val="2"/>
      </rPr>
      <t xml:space="preserve">지원 사업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신청 창구</t>
    </r>
  </si>
  <si>
    <t xml:space="preserve">경제과 공고</t>
  </si>
  <si>
    <t xml:space="preserve">S42</t>
  </si>
  <si>
    <t xml:space="preserve">일자리센터</t>
  </si>
  <si>
    <t xml:space="preserve">고용정책기본법</t>
  </si>
  <si>
    <r>
      <rPr>
        <sz val="10"/>
        <rFont val="Noto Sans CJK SC"/>
        <family val="2"/>
      </rPr>
      <t xml:space="preserve">위치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운영시간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서비스</t>
    </r>
  </si>
  <si>
    <t xml:space="preserve">일자리센터 안내</t>
  </si>
  <si>
    <t xml:space="preserve">S43</t>
  </si>
  <si>
    <r>
      <rPr>
        <sz val="10"/>
        <rFont val="Noto Sans CJK SC"/>
        <family val="2"/>
      </rPr>
      <t xml:space="preserve">전통시장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상권</t>
    </r>
  </si>
  <si>
    <t xml:space="preserve">전통시장법</t>
  </si>
  <si>
    <r>
      <rPr>
        <sz val="10"/>
        <rFont val="Noto Sans CJK SC"/>
        <family val="2"/>
      </rPr>
      <t xml:space="preserve">시장 위치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휴무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주차</t>
    </r>
  </si>
  <si>
    <t xml:space="preserve">시장 안내</t>
  </si>
  <si>
    <t xml:space="preserve">S44</t>
  </si>
  <si>
    <t xml:space="preserve">창업 지원</t>
  </si>
  <si>
    <r>
      <rPr>
        <sz val="10"/>
        <rFont val="Noto Sans CJK SC"/>
        <family val="2"/>
      </rPr>
      <t xml:space="preserve">중소기업창업지원법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조례</t>
    </r>
  </si>
  <si>
    <r>
      <rPr>
        <sz val="10"/>
        <rFont val="Noto Sans CJK SC"/>
        <family val="2"/>
      </rPr>
      <t xml:space="preserve">지원 대상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모집 시기</t>
    </r>
  </si>
  <si>
    <t xml:space="preserve">공고</t>
  </si>
  <si>
    <t xml:space="preserve">S45</t>
  </si>
  <si>
    <r>
      <rPr>
        <sz val="10"/>
        <rFont val="Noto Sans CJK SC"/>
        <family val="2"/>
      </rPr>
      <t xml:space="preserve">반려동물 등록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유기동물</t>
    </r>
  </si>
  <si>
    <r>
      <rPr>
        <sz val="10"/>
        <rFont val="Noto Sans CJK SC"/>
        <family val="2"/>
      </rPr>
      <t xml:space="preserve">동물보호법 제</t>
    </r>
    <r>
      <rPr>
        <sz val="10"/>
        <rFont val="맑은 고딕"/>
        <family val="0"/>
        <charset val="1"/>
      </rPr>
      <t xml:space="preserve">15</t>
    </r>
    <r>
      <rPr>
        <sz val="10"/>
        <rFont val="Noto Sans CJK SC"/>
        <family val="2"/>
      </rPr>
      <t xml:space="preserve">조</t>
    </r>
  </si>
  <si>
    <r>
      <rPr>
        <sz val="10"/>
        <rFont val="Noto Sans CJK SC"/>
        <family val="2"/>
      </rPr>
      <t xml:space="preserve">등록 대행 기관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보호소 위치</t>
    </r>
  </si>
  <si>
    <t xml:space="preserve">동물보호 안내</t>
  </si>
  <si>
    <t xml:space="preserve">S46</t>
  </si>
  <si>
    <t xml:space="preserve">생활 불편 신고</t>
  </si>
  <si>
    <r>
      <rPr>
        <sz val="10"/>
        <rFont val="Noto Sans CJK SC"/>
        <family val="2"/>
      </rPr>
      <t xml:space="preserve">도로법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조례</t>
    </r>
  </si>
  <si>
    <r>
      <rPr>
        <sz val="10"/>
        <rFont val="Noto Sans CJK SC"/>
        <family val="2"/>
      </rPr>
      <t xml:space="preserve">가로등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도로 파손 신고처</t>
    </r>
  </si>
  <si>
    <t xml:space="preserve">신고 안내</t>
  </si>
  <si>
    <t xml:space="preserve">S47</t>
  </si>
  <si>
    <r>
      <rPr>
        <sz val="10"/>
        <rFont val="Noto Sans CJK SC"/>
        <family val="2"/>
      </rPr>
      <t xml:space="preserve">해충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유해동물</t>
    </r>
  </si>
  <si>
    <r>
      <rPr>
        <sz val="10"/>
        <rFont val="Noto Sans CJK SC"/>
        <family val="2"/>
      </rPr>
      <t xml:space="preserve">감염병예방법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조례</t>
    </r>
  </si>
  <si>
    <r>
      <rPr>
        <sz val="10"/>
        <rFont val="Noto Sans CJK SC"/>
        <family val="2"/>
      </rPr>
      <t xml:space="preserve">방역 요청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벌집 신고</t>
    </r>
  </si>
  <si>
    <r>
      <rPr>
        <sz val="10"/>
        <rFont val="Noto Sans CJK SC"/>
        <family val="2"/>
      </rPr>
      <t xml:space="preserve">보건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안전 안내</t>
    </r>
  </si>
  <si>
    <t xml:space="preserve">S48</t>
  </si>
  <si>
    <r>
      <rPr>
        <sz val="10"/>
        <rFont val="Noto Sans CJK SC"/>
        <family val="2"/>
      </rPr>
      <t xml:space="preserve">공공 와이파이</t>
    </r>
    <r>
      <rPr>
        <sz val="10"/>
        <rFont val="맑은 고딕"/>
        <family val="0"/>
        <charset val="1"/>
      </rPr>
      <t xml:space="preserve">·CCTV</t>
    </r>
  </si>
  <si>
    <t xml:space="preserve">조례</t>
  </si>
  <si>
    <r>
      <rPr>
        <sz val="10"/>
        <rFont val="Noto Sans CJK SC"/>
        <family val="2"/>
      </rPr>
      <t xml:space="preserve">설치 위치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관제센터 연락처</t>
    </r>
  </si>
  <si>
    <r>
      <rPr>
        <b val="true"/>
        <sz val="14"/>
        <rFont val="Noto Sans CJK SC"/>
        <family val="2"/>
      </rPr>
      <t xml:space="preserve">템플릿 문항 — </t>
    </r>
    <r>
      <rPr>
        <b val="true"/>
        <sz val="14"/>
        <rFont val="맑은 고딕"/>
        <family val="0"/>
        <charset val="1"/>
      </rPr>
      <t xml:space="preserve">{</t>
    </r>
    <r>
      <rPr>
        <b val="true"/>
        <sz val="14"/>
        <rFont val="Noto Sans CJK SC"/>
        <family val="2"/>
      </rPr>
      <t xml:space="preserve">매개변수</t>
    </r>
    <r>
      <rPr>
        <b val="true"/>
        <sz val="14"/>
        <rFont val="맑은 고딕"/>
        <family val="0"/>
        <charset val="1"/>
      </rPr>
      <t xml:space="preserve">}</t>
    </r>
    <r>
      <rPr>
        <b val="true"/>
        <sz val="14"/>
        <rFont val="Noto Sans CJK SC"/>
        <family val="2"/>
      </rPr>
      <t xml:space="preserve">를 매개변수 사전 값으로 전개하면 후보 문항이 된다</t>
    </r>
  </si>
  <si>
    <r>
      <rPr>
        <sz val="9"/>
        <color rgb="FF595959"/>
        <rFont val="Noto Sans CJK SC"/>
        <family val="2"/>
      </rPr>
      <t xml:space="preserve">원칙</t>
    </r>
    <r>
      <rPr>
        <sz val="9"/>
        <color rgb="FF595959"/>
        <rFont val="맑은 고딕"/>
        <family val="0"/>
        <charset val="1"/>
      </rPr>
      <t xml:space="preserve">: </t>
    </r>
    <r>
      <rPr>
        <sz val="9"/>
        <color rgb="FF595959"/>
        <rFont val="Noto Sans CJK SC"/>
        <family val="2"/>
      </rPr>
      <t xml:space="preserve">한 질문 </t>
    </r>
    <r>
      <rPr>
        <sz val="9"/>
        <color rgb="FF595959"/>
        <rFont val="맑은 고딕"/>
        <family val="0"/>
        <charset val="1"/>
      </rPr>
      <t xml:space="preserve">= </t>
    </r>
    <r>
      <rPr>
        <sz val="9"/>
        <color rgb="FF595959"/>
        <rFont val="Noto Sans CJK SC"/>
        <family val="2"/>
      </rPr>
      <t xml:space="preserve">하나의 사실 </t>
    </r>
    <r>
      <rPr>
        <sz val="9"/>
        <color rgb="FF595959"/>
        <rFont val="맑은 고딕"/>
        <family val="0"/>
        <charset val="1"/>
      </rPr>
      <t xml:space="preserve">· </t>
    </r>
    <r>
      <rPr>
        <sz val="9"/>
        <color rgb="FF595959"/>
        <rFont val="Noto Sans CJK SC"/>
        <family val="2"/>
      </rPr>
      <t xml:space="preserve">지자체마다 답이 다름 </t>
    </r>
    <r>
      <rPr>
        <sz val="9"/>
        <color rgb="FF595959"/>
        <rFont val="맑은 고딕"/>
        <family val="0"/>
        <charset val="1"/>
      </rPr>
      <t xml:space="preserve">· </t>
    </r>
    <r>
      <rPr>
        <sz val="9"/>
        <color rgb="FF595959"/>
        <rFont val="Noto Sans CJK SC"/>
        <family val="2"/>
      </rPr>
      <t xml:space="preserve">중립 표현 </t>
    </r>
    <r>
      <rPr>
        <sz val="9"/>
        <color rgb="FF595959"/>
        <rFont val="맑은 고딕"/>
        <family val="0"/>
        <charset val="1"/>
      </rPr>
      <t xml:space="preserve">· </t>
    </r>
    <r>
      <rPr>
        <sz val="9"/>
        <color rgb="FF595959"/>
        <rFont val="Noto Sans CJK SC"/>
        <family val="2"/>
      </rPr>
      <t xml:space="preserve">변형 수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파란 글씨</t>
    </r>
    <r>
      <rPr>
        <sz val="9"/>
        <color rgb="FF595959"/>
        <rFont val="맑은 고딕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는 매개변수 전개 후 문항 수</t>
    </r>
  </si>
  <si>
    <r>
      <rPr>
        <b val="true"/>
        <sz val="10"/>
        <color rgb="FFFFFFFF"/>
        <rFont val="Noto Sans CJK SC"/>
        <family val="2"/>
      </rPr>
      <t xml:space="preserve">문항</t>
    </r>
    <r>
      <rPr>
        <b val="true"/>
        <sz val="10"/>
        <color rgb="FFFFFFFF"/>
        <rFont val="맑은 고딕"/>
        <family val="0"/>
        <charset val="1"/>
      </rPr>
      <t xml:space="preserve">ID</t>
    </r>
  </si>
  <si>
    <t xml:space="preserve">원천</t>
  </si>
  <si>
    <t xml:space="preserve">템플릿 질문</t>
  </si>
  <si>
    <t xml:space="preserve">매개변수</t>
  </si>
  <si>
    <t xml:space="preserve">질문 유형</t>
  </si>
  <si>
    <t xml:space="preserve">피해 위험</t>
  </si>
  <si>
    <t xml:space="preserve">변형 수</t>
  </si>
  <si>
    <t xml:space="preserve">지명 사다리</t>
  </si>
  <si>
    <t xml:space="preserve">판정 규칙</t>
  </si>
  <si>
    <r>
      <rPr>
        <b val="true"/>
        <sz val="10"/>
        <color rgb="FFFFFFFF"/>
        <rFont val="Noto Sans CJK SC"/>
        <family val="2"/>
      </rPr>
      <t xml:space="preserve">근거 사무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법령</t>
    </r>
  </si>
  <si>
    <t xml:space="preserve">최종 검토일</t>
  </si>
  <si>
    <t xml:space="preserve">메모</t>
  </si>
  <si>
    <t xml:space="preserve">Q001</t>
  </si>
  <si>
    <t xml:space="preserve">법정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</si>
  <si>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로 이사했는데 전입신고는 어디서 하나요</t>
    </r>
    <r>
      <rPr>
        <sz val="10"/>
        <rFont val="맑은 고딕"/>
        <family val="0"/>
        <charset val="1"/>
      </rPr>
      <t xml:space="preserve">?</t>
    </r>
  </si>
  <si>
    <t xml:space="preserve">—</t>
  </si>
  <si>
    <t xml:space="preserve">L2</t>
  </si>
  <si>
    <r>
      <rPr>
        <sz val="10"/>
        <rFont val="Noto Sans CJK SC"/>
        <family val="2"/>
      </rPr>
      <t xml:space="preserve">공식 공지의 요일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시간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주소와 일치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최신 공지 기준</t>
    </r>
    <r>
      <rPr>
        <sz val="10"/>
        <rFont val="맑은 고딕"/>
        <family val="0"/>
        <charset val="1"/>
      </rPr>
      <t xml:space="preserve">)</t>
    </r>
  </si>
  <si>
    <t xml:space="preserve">Q002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</si>
  <si>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전입신고를 온라인으로 할 수 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</si>
  <si>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공식 문서의 해당 문장과 내용 일치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대상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조건 포함</t>
    </r>
    <r>
      <rPr>
        <sz val="10"/>
        <rFont val="맑은 고딕"/>
        <family val="0"/>
        <charset val="1"/>
      </rPr>
      <t xml:space="preserve">)</t>
    </r>
  </si>
  <si>
    <t xml:space="preserve">Q003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</si>
  <si>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전입신고 할 때 필요한 서류가 뭔가요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</si>
  <si>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대상</t>
    </r>
    <r>
      <rPr>
        <sz val="10"/>
        <rFont val="맑은 고딕"/>
        <family val="0"/>
        <charset val="1"/>
      </rPr>
      <t xml:space="preserve">}: </t>
    </r>
    <r>
      <rPr>
        <sz val="10"/>
        <rFont val="Noto Sans CJK SC"/>
        <family val="2"/>
      </rPr>
      <t xml:space="preserve">본인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세대원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대리인</t>
    </r>
  </si>
  <si>
    <r>
      <rPr>
        <sz val="10"/>
        <rFont val="Noto Sans CJK SC"/>
        <family val="2"/>
      </rPr>
      <t xml:space="preserve">공식 문서의 단계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필요 서류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접수처와 일치</t>
    </r>
  </si>
  <si>
    <t xml:space="preserve">Q004</t>
  </si>
  <si>
    <t xml:space="preserve">수요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</si>
  <si>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전입신고 기한을 넘기면 과태료가 얼마인가요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</si>
  <si>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고시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조례의 금액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단위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감면 조건과 일치</t>
    </r>
  </si>
  <si>
    <t xml:space="preserve">Q005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</si>
  <si>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{</t>
    </r>
    <r>
      <rPr>
        <sz val="10"/>
        <rFont val="Noto Sans CJK SC"/>
        <family val="2"/>
      </rPr>
      <t xml:space="preserve">동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주민센터 전입신고 가능한 시간이 언제인가요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</si>
  <si>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동</t>
    </r>
    <r>
      <rPr>
        <sz val="10"/>
        <rFont val="맑은 고딕"/>
        <family val="0"/>
        <charset val="1"/>
      </rPr>
      <t xml:space="preserve">}: </t>
    </r>
    <r>
      <rPr>
        <sz val="10"/>
        <rFont val="Noto Sans CJK SC"/>
        <family val="2"/>
      </rPr>
      <t xml:space="preserve">지자체별 읍면동 </t>
    </r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곳 표집</t>
    </r>
  </si>
  <si>
    <t xml:space="preserve">L3</t>
  </si>
  <si>
    <t xml:space="preserve">Q006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</si>
  <si>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무인민원발급기는 어디에 있나요</t>
    </r>
    <r>
      <rPr>
        <sz val="10"/>
        <rFont val="맑은 고딕"/>
        <family val="0"/>
        <charset val="1"/>
      </rPr>
      <t xml:space="preserve">?</t>
    </r>
  </si>
  <si>
    <t xml:space="preserve">Q007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</si>
  <si>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주민등록등본 발급 수수료는 얼마인가요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</si>
  <si>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서류</t>
    </r>
    <r>
      <rPr>
        <sz val="10"/>
        <rFont val="맑은 고딕"/>
        <family val="0"/>
        <charset val="1"/>
      </rPr>
      <t xml:space="preserve">}: </t>
    </r>
    <r>
      <rPr>
        <sz val="10"/>
        <rFont val="Noto Sans CJK SC"/>
        <family val="2"/>
      </rPr>
      <t xml:space="preserve">등본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초본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가족관계증명서</t>
    </r>
  </si>
  <si>
    <t xml:space="preserve">Q008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</si>
  <si>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주민센터 토요일에도 등본 뗄 수 있나요</t>
    </r>
    <r>
      <rPr>
        <sz val="10"/>
        <rFont val="맑은 고딕"/>
        <family val="0"/>
        <charset val="1"/>
      </rPr>
      <t xml:space="preserve">?</t>
    </r>
  </si>
  <si>
    <t xml:space="preserve">Q009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</si>
  <si>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{</t>
    </r>
    <r>
      <rPr>
        <sz val="10"/>
        <rFont val="Noto Sans CJK SC"/>
        <family val="2"/>
      </rPr>
      <t xml:space="preserve">동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주민센터 전화번호가 뭔가요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</si>
  <si>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동</t>
    </r>
    <r>
      <rPr>
        <sz val="10"/>
        <rFont val="맑은 고딕"/>
        <family val="0"/>
        <charset val="1"/>
      </rPr>
      <t xml:space="preserve">}: </t>
    </r>
    <r>
      <rPr>
        <sz val="10"/>
        <rFont val="Noto Sans CJK SC"/>
        <family val="2"/>
      </rPr>
      <t xml:space="preserve">읍면동 </t>
    </r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곳 표집</t>
    </r>
  </si>
  <si>
    <r>
      <rPr>
        <sz val="10"/>
        <rFont val="Noto Sans CJK SC"/>
        <family val="2"/>
      </rPr>
      <t xml:space="preserve">공식 대표번호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부서명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담당 기관과 일치</t>
    </r>
  </si>
  <si>
    <t xml:space="preserve">Q010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</si>
  <si>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에서 인감 신고는 어디서 하나요</t>
    </r>
    <r>
      <rPr>
        <sz val="10"/>
        <rFont val="맑은 고딕"/>
        <family val="0"/>
        <charset val="1"/>
      </rPr>
      <t xml:space="preserve">?</t>
    </r>
  </si>
  <si>
    <t xml:space="preserve">Q011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</si>
  <si>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본인서명사실확인서 발급받으려면 뭐가 필요한가요</t>
    </r>
    <r>
      <rPr>
        <sz val="10"/>
        <rFont val="맑은 고딕"/>
        <family val="0"/>
        <charset val="1"/>
      </rPr>
      <t xml:space="preserve">?</t>
    </r>
  </si>
  <si>
    <t xml:space="preserve">Q012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</si>
  <si>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인감증명서 대리 발급 가능한가요</t>
    </r>
    <r>
      <rPr>
        <sz val="10"/>
        <rFont val="맑은 고딕"/>
        <family val="0"/>
        <charset val="1"/>
      </rPr>
      <t xml:space="preserve">?</t>
    </r>
  </si>
  <si>
    <t xml:space="preserve">Q013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</si>
  <si>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인감증명서 수수료가 얼마인가요</t>
    </r>
    <r>
      <rPr>
        <sz val="10"/>
        <rFont val="맑은 고딕"/>
        <family val="0"/>
        <charset val="1"/>
      </rPr>
      <t xml:space="preserve">?</t>
    </r>
  </si>
  <si>
    <t xml:space="preserve">Q014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</si>
  <si>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에서 여권 신청은 어디서 하나요</t>
    </r>
    <r>
      <rPr>
        <sz val="10"/>
        <rFont val="맑은 고딕"/>
        <family val="0"/>
        <charset val="1"/>
      </rPr>
      <t xml:space="preserve">?</t>
    </r>
  </si>
  <si>
    <t xml:space="preserve">Q015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</si>
  <si>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여권 발급 소요 기간이 얼마나 되나요</t>
    </r>
    <r>
      <rPr>
        <sz val="10"/>
        <rFont val="맑은 고딕"/>
        <family val="0"/>
        <charset val="1"/>
      </rPr>
      <t xml:space="preserve">?</t>
    </r>
  </si>
  <si>
    <t xml:space="preserve">Q016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</si>
  <si>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여권과 운영 시간이 어떻게 되나요</t>
    </r>
    <r>
      <rPr>
        <sz val="10"/>
        <rFont val="맑은 고딕"/>
        <family val="0"/>
        <charset val="1"/>
      </rPr>
      <t xml:space="preserve">?</t>
    </r>
  </si>
  <si>
    <t xml:space="preserve">Q017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</si>
  <si>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여권 발급 수수료는 얼마인가요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</si>
  <si>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여권종류</t>
    </r>
    <r>
      <rPr>
        <sz val="10"/>
        <rFont val="맑은 고딕"/>
        <family val="0"/>
        <charset val="1"/>
      </rPr>
      <t xml:space="preserve">}: 10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·5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긴급</t>
    </r>
  </si>
  <si>
    <t xml:space="preserve">Q018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</si>
  <si>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여권과 전화번호 알려주세요</t>
    </r>
  </si>
  <si>
    <t xml:space="preserve">Q019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</si>
  <si>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{</t>
    </r>
    <r>
      <rPr>
        <sz val="10"/>
        <rFont val="Noto Sans CJK SC"/>
        <family val="2"/>
      </rPr>
      <t xml:space="preserve">동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생활쓰레기 배출 요일이 언제인가요</t>
    </r>
    <r>
      <rPr>
        <sz val="10"/>
        <rFont val="맑은 고딕"/>
        <family val="0"/>
        <charset val="1"/>
      </rPr>
      <t xml:space="preserve">?</t>
    </r>
  </si>
  <si>
    <t xml:space="preserve">Q020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</si>
  <si>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쓰레기 배출 시간은 몇 시부터 몇 시까지인가요</t>
    </r>
    <r>
      <rPr>
        <sz val="10"/>
        <rFont val="맑은 고딕"/>
        <family val="0"/>
        <charset val="1"/>
      </rPr>
      <t xml:space="preserve">?</t>
    </r>
  </si>
  <si>
    <t xml:space="preserve">Q021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</si>
  <si>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쓰레기 무단투기 과태료는 얼마인가요</t>
    </r>
    <r>
      <rPr>
        <sz val="10"/>
        <rFont val="맑은 고딕"/>
        <family val="0"/>
        <charset val="1"/>
      </rPr>
      <t xml:space="preserve">?</t>
    </r>
  </si>
  <si>
    <t xml:space="preserve">Q022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</si>
  <si>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에서 </t>
    </r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품목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은 어떻게 버리나요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</si>
  <si>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품목</t>
    </r>
    <r>
      <rPr>
        <sz val="10"/>
        <rFont val="맑은 고딕"/>
        <family val="0"/>
        <charset val="1"/>
      </rPr>
      <t xml:space="preserve">}: </t>
    </r>
    <r>
      <rPr>
        <sz val="10"/>
        <rFont val="Noto Sans CJK SC"/>
        <family val="2"/>
      </rPr>
      <t xml:space="preserve">폐건전지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형광등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폐식용유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깨진 유리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스티로폼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옷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우산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소형가전</t>
    </r>
  </si>
  <si>
    <t xml:space="preserve">Q023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</si>
  <si>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청소 담당 부서 전화번호가 뭔가요</t>
    </r>
    <r>
      <rPr>
        <sz val="10"/>
        <rFont val="맑은 고딕"/>
        <family val="0"/>
        <charset val="1"/>
      </rPr>
      <t xml:space="preserve">?</t>
    </r>
  </si>
  <si>
    <t xml:space="preserve">Q024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</si>
  <si>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대형폐기물 배출 신고는 어떻게 하나요</t>
    </r>
    <r>
      <rPr>
        <sz val="10"/>
        <rFont val="맑은 고딕"/>
        <family val="0"/>
        <charset val="1"/>
      </rPr>
      <t xml:space="preserve">?</t>
    </r>
  </si>
  <si>
    <t xml:space="preserve">Q025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</si>
  <si>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에서 </t>
    </r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대형품목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버리는 수수료가 얼마인가요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</si>
  <si>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대형품목</t>
    </r>
    <r>
      <rPr>
        <sz val="10"/>
        <rFont val="맑은 고딕"/>
        <family val="0"/>
        <charset val="1"/>
      </rPr>
      <t xml:space="preserve">}: </t>
    </r>
    <r>
      <rPr>
        <sz val="10"/>
        <rFont val="Noto Sans CJK SC"/>
        <family val="2"/>
      </rPr>
      <t xml:space="preserve">침대 매트리스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장롱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소파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책상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냉장고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세탁기</t>
    </r>
    <r>
      <rPr>
        <sz val="10"/>
        <rFont val="맑은 고딕"/>
        <family val="0"/>
        <charset val="1"/>
      </rPr>
      <t xml:space="preserve">·TV·</t>
    </r>
    <r>
      <rPr>
        <sz val="10"/>
        <rFont val="Noto Sans CJK SC"/>
        <family val="2"/>
      </rPr>
      <t xml:space="preserve">자전거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의자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에어컨</t>
    </r>
  </si>
  <si>
    <t xml:space="preserve">Q026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</si>
  <si>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대형폐기물 스티커는 어디서 사나요</t>
    </r>
    <r>
      <rPr>
        <sz val="10"/>
        <rFont val="맑은 고딕"/>
        <family val="0"/>
        <charset val="1"/>
      </rPr>
      <t xml:space="preserve">?</t>
    </r>
  </si>
  <si>
    <t xml:space="preserve">Q027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</si>
  <si>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대형폐기물 무상 수거 품목이 있나요</t>
    </r>
    <r>
      <rPr>
        <sz val="10"/>
        <rFont val="맑은 고딕"/>
        <family val="0"/>
        <charset val="1"/>
      </rPr>
      <t xml:space="preserve">?</t>
    </r>
  </si>
  <si>
    <t xml:space="preserve">Q028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</si>
  <si>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대형폐기물 수거일은 언제인가요</t>
    </r>
    <r>
      <rPr>
        <sz val="10"/>
        <rFont val="맑은 고딕"/>
        <family val="0"/>
        <charset val="1"/>
      </rPr>
      <t xml:space="preserve">?</t>
    </r>
  </si>
  <si>
    <t xml:space="preserve">Q029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</si>
  <si>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음식물쓰레기는 어떻게 배출하나요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</si>
  <si>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주거유형</t>
    </r>
    <r>
      <rPr>
        <sz val="10"/>
        <rFont val="맑은 고딕"/>
        <family val="0"/>
        <charset val="1"/>
      </rPr>
      <t xml:space="preserve">}: </t>
    </r>
    <r>
      <rPr>
        <sz val="10"/>
        <rFont val="Noto Sans CJK SC"/>
        <family val="2"/>
      </rPr>
      <t xml:space="preserve">단독주택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공동주택</t>
    </r>
  </si>
  <si>
    <t xml:space="preserve">Q030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</si>
  <si>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음식물쓰레기 전용봉투 가격이 얼마인가요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</si>
  <si>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용량</t>
    </r>
    <r>
      <rPr>
        <sz val="10"/>
        <rFont val="맑은 고딕"/>
        <family val="0"/>
        <charset val="1"/>
      </rPr>
      <t xml:space="preserve">}: 2L·3L·5L</t>
    </r>
  </si>
  <si>
    <t xml:space="preserve">Q031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</si>
  <si>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에서 </t>
    </r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음식물품목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은 음식물쓰레기인가요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</si>
  <si>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음식물품목</t>
    </r>
    <r>
      <rPr>
        <sz val="10"/>
        <rFont val="맑은 고딕"/>
        <family val="0"/>
        <charset val="1"/>
      </rPr>
      <t xml:space="preserve">}: </t>
    </r>
    <r>
      <rPr>
        <sz val="10"/>
        <rFont val="Noto Sans CJK SC"/>
        <family val="2"/>
      </rPr>
      <t xml:space="preserve">계란 껍데기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바나나 껍질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복숭아 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치킨 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조개 껍데기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커피 찌꺼기</t>
    </r>
  </si>
  <si>
    <t xml:space="preserve">Q032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</si>
  <si>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음식물쓰레기 배출 요일이 언제인가요</t>
    </r>
    <r>
      <rPr>
        <sz val="10"/>
        <rFont val="맑은 고딕"/>
        <family val="0"/>
        <charset val="1"/>
      </rPr>
      <t xml:space="preserve">?</t>
    </r>
  </si>
  <si>
    <t xml:space="preserve">Q033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</si>
  <si>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종량제 봉투 </t>
    </r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용량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가격이 얼마인가요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</si>
  <si>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용량</t>
    </r>
    <r>
      <rPr>
        <sz val="10"/>
        <rFont val="맑은 고딕"/>
        <family val="0"/>
        <charset val="1"/>
      </rPr>
      <t xml:space="preserve">}: 10L·20L·50L·75L</t>
    </r>
  </si>
  <si>
    <t xml:space="preserve">Q034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</si>
  <si>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종량제 봉투는 어디서 파나요</t>
    </r>
    <r>
      <rPr>
        <sz val="10"/>
        <rFont val="맑은 고딕"/>
        <family val="0"/>
        <charset val="1"/>
      </rPr>
      <t xml:space="preserve">?</t>
    </r>
  </si>
  <si>
    <t xml:space="preserve">Q035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</si>
  <si>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종량제 봉투를 다른 지역에서 사용할 수 있나요</t>
    </r>
    <r>
      <rPr>
        <sz val="10"/>
        <rFont val="맑은 고딕"/>
        <family val="0"/>
        <charset val="1"/>
      </rPr>
      <t xml:space="preserve">?</t>
    </r>
  </si>
  <si>
    <t xml:space="preserve">Q036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</si>
  <si>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종량제 봉투 가격이 올해 바뀌었나요</t>
    </r>
    <r>
      <rPr>
        <sz val="10"/>
        <rFont val="맑은 고딕"/>
        <family val="0"/>
        <charset val="1"/>
      </rPr>
      <t xml:space="preserve">?</t>
    </r>
  </si>
  <si>
    <t xml:space="preserve">Q037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</si>
  <si>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불법 주정차 단속 시간이 언제인가요</t>
    </r>
    <r>
      <rPr>
        <sz val="10"/>
        <rFont val="맑은 고딕"/>
        <family val="0"/>
        <charset val="1"/>
      </rPr>
      <t xml:space="preserve">?</t>
    </r>
  </si>
  <si>
    <t xml:space="preserve">Q038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</si>
  <si>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주정차 위반 과태료는 얼마인가요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</si>
  <si>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차종</t>
    </r>
    <r>
      <rPr>
        <sz val="10"/>
        <rFont val="맑은 고딕"/>
        <family val="0"/>
        <charset val="1"/>
      </rPr>
      <t xml:space="preserve">}: </t>
    </r>
    <r>
      <rPr>
        <sz val="10"/>
        <rFont val="Noto Sans CJK SC"/>
        <family val="2"/>
      </rPr>
      <t xml:space="preserve">승용차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승합차 </t>
    </r>
    <r>
      <rPr>
        <sz val="10"/>
        <rFont val="맑은 고딕"/>
        <family val="0"/>
        <charset val="1"/>
      </rPr>
      <t xml:space="preserve">/ {</t>
    </r>
    <r>
      <rPr>
        <sz val="10"/>
        <rFont val="Noto Sans CJK SC"/>
        <family val="2"/>
      </rPr>
      <t xml:space="preserve">구역</t>
    </r>
    <r>
      <rPr>
        <sz val="10"/>
        <rFont val="맑은 고딕"/>
        <family val="0"/>
        <charset val="1"/>
      </rPr>
      <t xml:space="preserve">}: </t>
    </r>
    <r>
      <rPr>
        <sz val="10"/>
        <rFont val="Noto Sans CJK SC"/>
        <family val="2"/>
      </rPr>
      <t xml:space="preserve">일반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어린이보호구역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소방시설</t>
    </r>
  </si>
  <si>
    <t xml:space="preserve">Q039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</si>
  <si>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주정차 단속 이의신청은 어떻게 하나요</t>
    </r>
    <r>
      <rPr>
        <sz val="10"/>
        <rFont val="맑은 고딕"/>
        <family val="0"/>
        <charset val="1"/>
      </rPr>
      <t xml:space="preserve">?</t>
    </r>
  </si>
  <si>
    <t xml:space="preserve">Q040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</si>
  <si>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주정차 단속 알림 서비스 신청 방법이 뭔가요</t>
    </r>
    <r>
      <rPr>
        <sz val="10"/>
        <rFont val="맑은 고딕"/>
        <family val="0"/>
        <charset val="1"/>
      </rPr>
      <t xml:space="preserve">?</t>
    </r>
  </si>
  <si>
    <t xml:space="preserve">Q041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</si>
  <si>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점심시간에 주정차 단속하나요</t>
    </r>
    <r>
      <rPr>
        <sz val="10"/>
        <rFont val="맑은 고딕"/>
        <family val="0"/>
        <charset val="1"/>
      </rPr>
      <t xml:space="preserve">?</t>
    </r>
  </si>
  <si>
    <t xml:space="preserve">Q042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</si>
  <si>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주차 단속 담당 부서 전화번호 알려주세요</t>
    </r>
  </si>
  <si>
    <t xml:space="preserve">Q043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</si>
  <si>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거주자우선주차 신청은 어떻게 하나요</t>
    </r>
    <r>
      <rPr>
        <sz val="10"/>
        <rFont val="맑은 고딕"/>
        <family val="0"/>
        <charset val="1"/>
      </rPr>
      <t xml:space="preserve">?</t>
    </r>
  </si>
  <si>
    <t xml:space="preserve">Q044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</si>
  <si>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거주자우선주차 요금은 얼마인가요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</si>
  <si>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구분</t>
    </r>
    <r>
      <rPr>
        <sz val="10"/>
        <rFont val="맑은 고딕"/>
        <family val="0"/>
        <charset val="1"/>
      </rPr>
      <t xml:space="preserve">}: </t>
    </r>
    <r>
      <rPr>
        <sz val="10"/>
        <rFont val="Noto Sans CJK SC"/>
        <family val="2"/>
      </rPr>
      <t xml:space="preserve">전일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주간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야간</t>
    </r>
  </si>
  <si>
    <t xml:space="preserve">Q045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</si>
  <si>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거주자우선주차 배정은 언제 하나요</t>
    </r>
    <r>
      <rPr>
        <sz val="10"/>
        <rFont val="맑은 고딕"/>
        <family val="0"/>
        <charset val="1"/>
      </rPr>
      <t xml:space="preserve">?</t>
    </r>
  </si>
  <si>
    <t xml:space="preserve">Q046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</si>
  <si>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거주자우선주차 구역에 다른 차가 있으면 어떻게 하나요</t>
    </r>
    <r>
      <rPr>
        <sz val="10"/>
        <rFont val="맑은 고딕"/>
        <family val="0"/>
        <charset val="1"/>
      </rPr>
      <t xml:space="preserve">?</t>
    </r>
  </si>
  <si>
    <t xml:space="preserve">Q047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</si>
  <si>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공영주차장 요금은 얼마인가요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</si>
  <si>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급지</t>
    </r>
    <r>
      <rPr>
        <sz val="10"/>
        <rFont val="맑은 고딕"/>
        <family val="0"/>
        <charset val="1"/>
      </rPr>
      <t xml:space="preserve">}: 1</t>
    </r>
    <r>
      <rPr>
        <sz val="10"/>
        <rFont val="Noto Sans CJK SC"/>
        <family val="2"/>
      </rPr>
      <t xml:space="preserve">급지</t>
    </r>
    <r>
      <rPr>
        <sz val="10"/>
        <rFont val="맑은 고딕"/>
        <family val="0"/>
        <charset val="1"/>
      </rPr>
      <t xml:space="preserve">·2</t>
    </r>
    <r>
      <rPr>
        <sz val="10"/>
        <rFont val="Noto Sans CJK SC"/>
        <family val="2"/>
      </rPr>
      <t xml:space="preserve">급지</t>
    </r>
    <r>
      <rPr>
        <sz val="10"/>
        <rFont val="맑은 고딕"/>
        <family val="0"/>
        <charset val="1"/>
      </rPr>
      <t xml:space="preserve">·3</t>
    </r>
    <r>
      <rPr>
        <sz val="10"/>
        <rFont val="Noto Sans CJK SC"/>
        <family val="2"/>
      </rPr>
      <t xml:space="preserve">급지</t>
    </r>
  </si>
  <si>
    <t xml:space="preserve">Q048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</si>
  <si>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공영주차장 </t>
    </r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감면대상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할인되나요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</si>
  <si>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감면대상</t>
    </r>
    <r>
      <rPr>
        <sz val="10"/>
        <rFont val="맑은 고딕"/>
        <family val="0"/>
        <charset val="1"/>
      </rPr>
      <t xml:space="preserve">}: </t>
    </r>
    <r>
      <rPr>
        <sz val="10"/>
        <rFont val="Noto Sans CJK SC"/>
        <family val="2"/>
      </rPr>
      <t xml:space="preserve">경차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장애인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국가유공자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저공해차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다자녀</t>
    </r>
  </si>
  <si>
    <t xml:space="preserve">Q049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</si>
  <si>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공영주차장 운영 시간이 언제인가요</t>
    </r>
    <r>
      <rPr>
        <sz val="10"/>
        <rFont val="맑은 고딕"/>
        <family val="0"/>
        <charset val="1"/>
      </rPr>
      <t xml:space="preserve">?</t>
    </r>
  </si>
  <si>
    <t xml:space="preserve">Q050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</si>
  <si>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공영주차장 월정기권은 어떻게 신청하나요</t>
    </r>
    <r>
      <rPr>
        <sz val="10"/>
        <rFont val="맑은 고딕"/>
        <family val="0"/>
        <charset val="1"/>
      </rPr>
      <t xml:space="preserve">?</t>
    </r>
  </si>
  <si>
    <t xml:space="preserve">Q051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</si>
  <si>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에서 차가 견인되면 어디로 가나요</t>
    </r>
    <r>
      <rPr>
        <sz val="10"/>
        <rFont val="맑은 고딕"/>
        <family val="0"/>
        <charset val="1"/>
      </rPr>
      <t xml:space="preserve">?</t>
    </r>
  </si>
  <si>
    <t xml:space="preserve">Q052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</si>
  <si>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견인 보관소 전화번호가 뭔가요</t>
    </r>
    <r>
      <rPr>
        <sz val="10"/>
        <rFont val="맑은 고딕"/>
        <family val="0"/>
        <charset val="1"/>
      </rPr>
      <t xml:space="preserve">?</t>
    </r>
  </si>
  <si>
    <t xml:space="preserve">Q053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</si>
  <si>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견인 비용과 보관료는 얼마인가요</t>
    </r>
    <r>
      <rPr>
        <sz val="10"/>
        <rFont val="맑은 고딕"/>
        <family val="0"/>
        <charset val="1"/>
      </rPr>
      <t xml:space="preserve">?</t>
    </r>
  </si>
  <si>
    <t xml:space="preserve">Q054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</si>
  <si>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견인된 차 찾을 때 필요한 서류가 뭔가요</t>
    </r>
    <r>
      <rPr>
        <sz val="10"/>
        <rFont val="맑은 고딕"/>
        <family val="0"/>
        <charset val="1"/>
      </rPr>
      <t xml:space="preserve">?</t>
    </r>
  </si>
  <si>
    <t xml:space="preserve">Q055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</si>
  <si>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보건소 진료 시간이 언제인가요</t>
    </r>
    <r>
      <rPr>
        <sz val="10"/>
        <rFont val="맑은 고딕"/>
        <family val="0"/>
        <charset val="1"/>
      </rPr>
      <t xml:space="preserve">?</t>
    </r>
  </si>
  <si>
    <t xml:space="preserve">Q056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</si>
  <si>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보건소에서 </t>
    </r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검사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검사를 받을 수 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</si>
  <si>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검사</t>
    </r>
    <r>
      <rPr>
        <sz val="10"/>
        <rFont val="맑은 고딕"/>
        <family val="0"/>
        <charset val="1"/>
      </rPr>
      <t xml:space="preserve">}: </t>
    </r>
    <r>
      <rPr>
        <sz val="10"/>
        <rFont val="Noto Sans CJK SC"/>
        <family val="2"/>
      </rPr>
      <t xml:space="preserve">결핵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에이즈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간염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골밀도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구강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잠복결핵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성병</t>
    </r>
  </si>
  <si>
    <t xml:space="preserve">Q057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</si>
  <si>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보건소 </t>
    </r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검사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검사 비용이 얼마인가요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</si>
  <si>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검사</t>
    </r>
    <r>
      <rPr>
        <sz val="10"/>
        <rFont val="맑은 고딕"/>
        <family val="0"/>
        <charset val="1"/>
      </rPr>
      <t xml:space="preserve">}: </t>
    </r>
    <r>
      <rPr>
        <sz val="10"/>
        <rFont val="Noto Sans CJK SC"/>
        <family val="2"/>
      </rPr>
      <t xml:space="preserve">위와 동일 </t>
    </r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종</t>
    </r>
  </si>
  <si>
    <t xml:space="preserve">Q058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</si>
  <si>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보건소 전화번호가 뭔가요</t>
    </r>
    <r>
      <rPr>
        <sz val="10"/>
        <rFont val="맑은 고딕"/>
        <family val="0"/>
        <charset val="1"/>
      </rPr>
      <t xml:space="preserve">?</t>
    </r>
  </si>
  <si>
    <t xml:space="preserve">Q059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</si>
  <si>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보건소 금연클리닉은 어떻게 신청하나요</t>
    </r>
    <r>
      <rPr>
        <sz val="10"/>
        <rFont val="맑은 고딕"/>
        <family val="0"/>
        <charset val="1"/>
      </rPr>
      <t xml:space="preserve">?</t>
    </r>
  </si>
  <si>
    <t xml:space="preserve">Q060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</si>
  <si>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보건소 주소가 어디인가요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</si>
  <si>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보건지소</t>
    </r>
    <r>
      <rPr>
        <sz val="10"/>
        <rFont val="맑은 고딕"/>
        <family val="0"/>
        <charset val="1"/>
      </rPr>
      <t xml:space="preserve">}: </t>
    </r>
    <r>
      <rPr>
        <sz val="10"/>
        <rFont val="Noto Sans CJK SC"/>
        <family val="2"/>
      </rPr>
      <t xml:space="preserve">본소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지소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곳 표집</t>
    </r>
  </si>
  <si>
    <t xml:space="preserve">Q061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</si>
  <si>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에서 </t>
    </r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백신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무료 접종 대상이 누구인가요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</si>
  <si>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백신</t>
    </r>
    <r>
      <rPr>
        <sz val="10"/>
        <rFont val="맑은 고딕"/>
        <family val="0"/>
        <charset val="1"/>
      </rPr>
      <t xml:space="preserve">}: </t>
    </r>
    <r>
      <rPr>
        <sz val="10"/>
        <rFont val="Noto Sans CJK SC"/>
        <family val="2"/>
      </rPr>
      <t xml:space="preserve">독감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대상포진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폐렴구균</t>
    </r>
    <r>
      <rPr>
        <sz val="10"/>
        <rFont val="맑은 고딕"/>
        <family val="0"/>
        <charset val="1"/>
      </rPr>
      <t xml:space="preserve">·B</t>
    </r>
    <r>
      <rPr>
        <sz val="10"/>
        <rFont val="Noto Sans CJK SC"/>
        <family val="2"/>
      </rPr>
      <t xml:space="preserve">형간염</t>
    </r>
    <r>
      <rPr>
        <sz val="10"/>
        <rFont val="맑은 고딕"/>
        <family val="0"/>
        <charset val="1"/>
      </rPr>
      <t xml:space="preserve">·HPV·</t>
    </r>
    <r>
      <rPr>
        <sz val="10"/>
        <rFont val="Noto Sans CJK SC"/>
        <family val="2"/>
      </rPr>
      <t xml:space="preserve">코로나</t>
    </r>
    <r>
      <rPr>
        <sz val="10"/>
        <rFont val="맑은 고딕"/>
        <family val="0"/>
        <charset val="1"/>
      </rPr>
      <t xml:space="preserve">19</t>
    </r>
  </si>
  <si>
    <t xml:space="preserve">Q062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</si>
  <si>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{</t>
    </r>
    <r>
      <rPr>
        <sz val="10"/>
        <rFont val="Noto Sans CJK SC"/>
        <family val="2"/>
      </rPr>
      <t xml:space="preserve">백신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접종은 어디서 받나요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</si>
  <si>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백신</t>
    </r>
    <r>
      <rPr>
        <sz val="10"/>
        <rFont val="맑은 고딕"/>
        <family val="0"/>
        <charset val="1"/>
      </rPr>
      <t xml:space="preserve">}: </t>
    </r>
    <r>
      <rPr>
        <sz val="10"/>
        <rFont val="Noto Sans CJK SC"/>
        <family val="2"/>
      </rPr>
      <t xml:space="preserve">위와 동일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종</t>
    </r>
  </si>
  <si>
    <t xml:space="preserve">Q063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</si>
  <si>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독감 예방접종 시작일이 언제인가요</t>
    </r>
    <r>
      <rPr>
        <sz val="10"/>
        <rFont val="맑은 고딕"/>
        <family val="0"/>
        <charset val="1"/>
      </rPr>
      <t xml:space="preserve">?</t>
    </r>
  </si>
  <si>
    <t xml:space="preserve">Q064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</si>
  <si>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영유아 예방접종 보건소 예약은 어떻게 하나요</t>
    </r>
    <r>
      <rPr>
        <sz val="10"/>
        <rFont val="맑은 고딕"/>
        <family val="0"/>
        <charset val="1"/>
      </rPr>
      <t xml:space="preserve">?</t>
    </r>
  </si>
  <si>
    <t xml:space="preserve">Q065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</si>
  <si>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치매안심센터는 어디에 있나요</t>
    </r>
    <r>
      <rPr>
        <sz val="10"/>
        <rFont val="맑은 고딕"/>
        <family val="0"/>
        <charset val="1"/>
      </rPr>
      <t xml:space="preserve">?</t>
    </r>
  </si>
  <si>
    <t xml:space="preserve">Q066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</si>
  <si>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치매 조기검진은 누가 받을 수 있나요</t>
    </r>
    <r>
      <rPr>
        <sz val="10"/>
        <rFont val="맑은 고딕"/>
        <family val="0"/>
        <charset val="1"/>
      </rPr>
      <t xml:space="preserve">?</t>
    </r>
  </si>
  <si>
    <t xml:space="preserve">Q067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</si>
  <si>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치매안심센터 전화번호 알려주세요</t>
    </r>
  </si>
  <si>
    <t xml:space="preserve">Q068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</si>
  <si>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치매 검사 비용이 얼마인가요</t>
    </r>
    <r>
      <rPr>
        <sz val="10"/>
        <rFont val="맑은 고딕"/>
        <family val="0"/>
        <charset val="1"/>
      </rPr>
      <t xml:space="preserve">?</t>
    </r>
  </si>
  <si>
    <t xml:space="preserve">Q069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</si>
  <si>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에서 </t>
    </r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요일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밤에 문 여는 약국은 어디인가요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</si>
  <si>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요일</t>
    </r>
    <r>
      <rPr>
        <sz val="10"/>
        <rFont val="맑은 고딕"/>
        <family val="0"/>
        <charset val="1"/>
      </rPr>
      <t xml:space="preserve">}: </t>
    </r>
    <r>
      <rPr>
        <sz val="10"/>
        <rFont val="Noto Sans CJK SC"/>
        <family val="2"/>
      </rPr>
      <t xml:space="preserve">평일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토요일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일요일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공휴일</t>
    </r>
  </si>
  <si>
    <t xml:space="preserve">Q070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</si>
  <si>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야간 진료 병원은 어디인가요</t>
    </r>
    <r>
      <rPr>
        <sz val="10"/>
        <rFont val="맑은 고딕"/>
        <family val="0"/>
        <charset val="1"/>
      </rPr>
      <t xml:space="preserve">?</t>
    </r>
  </si>
  <si>
    <t xml:space="preserve">Q071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</si>
  <si>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달빛어린이병원이 있나요</t>
    </r>
    <r>
      <rPr>
        <sz val="10"/>
        <rFont val="맑은 고딕"/>
        <family val="0"/>
        <charset val="1"/>
      </rPr>
      <t xml:space="preserve">?</t>
    </r>
  </si>
  <si>
    <t xml:space="preserve">Q072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</si>
  <si>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휴일 당번약국 어디서 확인하나요</t>
    </r>
    <r>
      <rPr>
        <sz val="10"/>
        <rFont val="맑은 고딕"/>
        <family val="0"/>
        <charset val="1"/>
      </rPr>
      <t xml:space="preserve">?</t>
    </r>
  </si>
  <si>
    <t xml:space="preserve">Q073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</si>
  <si>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{</t>
    </r>
    <r>
      <rPr>
        <sz val="10"/>
        <rFont val="Noto Sans CJK SC"/>
        <family val="2"/>
      </rPr>
      <t xml:space="preserve">수당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신청은 어디서 하나요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</si>
  <si>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수당</t>
    </r>
    <r>
      <rPr>
        <sz val="10"/>
        <rFont val="맑은 고딕"/>
        <family val="0"/>
        <charset val="1"/>
      </rPr>
      <t xml:space="preserve">}: </t>
    </r>
    <r>
      <rPr>
        <sz val="10"/>
        <rFont val="Noto Sans CJK SC"/>
        <family val="2"/>
      </rPr>
      <t xml:space="preserve">기초연금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아동수당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부모급여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장애인연금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영아수당</t>
    </r>
  </si>
  <si>
    <t xml:space="preserve">Q074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</si>
  <si>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{</t>
    </r>
    <r>
      <rPr>
        <sz val="10"/>
        <rFont val="Noto Sans CJK SC"/>
        <family val="2"/>
      </rPr>
      <t xml:space="preserve">수당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신청 서류가 뭔가요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</si>
  <si>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수당</t>
    </r>
    <r>
      <rPr>
        <sz val="10"/>
        <rFont val="맑은 고딕"/>
        <family val="0"/>
        <charset val="1"/>
      </rPr>
      <t xml:space="preserve">}: </t>
    </r>
    <r>
      <rPr>
        <sz val="10"/>
        <rFont val="Noto Sans CJK SC"/>
        <family val="2"/>
      </rPr>
      <t xml:space="preserve">위와 동일 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종</t>
    </r>
  </si>
  <si>
    <t xml:space="preserve">Q075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</si>
  <si>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기초연금 담당 부서 전화번호가 뭔가요</t>
    </r>
    <r>
      <rPr>
        <sz val="10"/>
        <rFont val="맑은 고딕"/>
        <family val="0"/>
        <charset val="1"/>
      </rPr>
      <t xml:space="preserve">?</t>
    </r>
  </si>
  <si>
    <t xml:space="preserve">Q076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</si>
  <si>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출산지원금은 얼마인가요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</si>
  <si>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자녀순위</t>
    </r>
    <r>
      <rPr>
        <sz val="10"/>
        <rFont val="맑은 고딕"/>
        <family val="0"/>
        <charset val="1"/>
      </rPr>
      <t xml:space="preserve">}: </t>
    </r>
    <r>
      <rPr>
        <sz val="10"/>
        <rFont val="Noto Sans CJK SC"/>
        <family val="2"/>
      </rPr>
      <t xml:space="preserve">첫째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둘째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셋째</t>
    </r>
  </si>
  <si>
    <t xml:space="preserve">Q077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</si>
  <si>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출산지원금 신청 기한이 언제까지인가요</t>
    </r>
    <r>
      <rPr>
        <sz val="10"/>
        <rFont val="맑은 고딕"/>
        <family val="0"/>
        <charset val="1"/>
      </rPr>
      <t xml:space="preserve">?</t>
    </r>
  </si>
  <si>
    <t xml:space="preserve">Q078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</si>
  <si>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긴급복지 지원은 어떻게 신청하나요</t>
    </r>
    <r>
      <rPr>
        <sz val="10"/>
        <rFont val="맑은 고딕"/>
        <family val="0"/>
        <charset val="1"/>
      </rPr>
      <t xml:space="preserve">?</t>
    </r>
  </si>
  <si>
    <t xml:space="preserve">Q079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</si>
  <si>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긴급복지 지원 대상이 누구인가요</t>
    </r>
    <r>
      <rPr>
        <sz val="10"/>
        <rFont val="맑은 고딕"/>
        <family val="0"/>
        <charset val="1"/>
      </rPr>
      <t xml:space="preserve">?</t>
    </r>
  </si>
  <si>
    <t xml:space="preserve">Q080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</si>
  <si>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긴급복지 상담 전화번호 알려주세요</t>
    </r>
  </si>
  <si>
    <t xml:space="preserve">Q081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</si>
  <si>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위기가구 신고는 어디에 하나요</t>
    </r>
    <r>
      <rPr>
        <sz val="10"/>
        <rFont val="맑은 고딕"/>
        <family val="0"/>
        <charset val="1"/>
      </rPr>
      <t xml:space="preserve">?</t>
    </r>
  </si>
  <si>
    <t xml:space="preserve">Q082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</si>
  <si>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노인 일자리 사업 신청은 언제 하나요</t>
    </r>
    <r>
      <rPr>
        <sz val="10"/>
        <rFont val="맑은 고딕"/>
        <family val="0"/>
        <charset val="1"/>
      </rPr>
      <t xml:space="preserve">?</t>
    </r>
  </si>
  <si>
    <t xml:space="preserve">Q083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</si>
  <si>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노인 일자리 신청 자격이 뭔가요</t>
    </r>
    <r>
      <rPr>
        <sz val="10"/>
        <rFont val="맑은 고딕"/>
        <family val="0"/>
        <charset val="1"/>
      </rPr>
      <t xml:space="preserve">?</t>
    </r>
  </si>
  <si>
    <t xml:space="preserve">Q084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</si>
  <si>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경로당 등록은 어떻게 하나요</t>
    </r>
    <r>
      <rPr>
        <sz val="10"/>
        <rFont val="맑은 고딕"/>
        <family val="0"/>
        <charset val="1"/>
      </rPr>
      <t xml:space="preserve">?</t>
    </r>
  </si>
  <si>
    <t xml:space="preserve">Q085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</si>
  <si>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노인복지관 위치와 전화번호 알려주세요</t>
    </r>
  </si>
  <si>
    <t xml:space="preserve">Q086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</si>
  <si>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장애인 활동지원 신청은 어디서 하나요</t>
    </r>
    <r>
      <rPr>
        <sz val="10"/>
        <rFont val="맑은 고딕"/>
        <family val="0"/>
        <charset val="1"/>
      </rPr>
      <t xml:space="preserve">?</t>
    </r>
  </si>
  <si>
    <t xml:space="preserve">Q087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</si>
  <si>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장애인 콜택시 이용 방법이 뭔가요</t>
    </r>
    <r>
      <rPr>
        <sz val="10"/>
        <rFont val="맑은 고딕"/>
        <family val="0"/>
        <charset val="1"/>
      </rPr>
      <t xml:space="preserve">?</t>
    </r>
  </si>
  <si>
    <t xml:space="preserve">Q088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</si>
  <si>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장애인 콜택시 예약 전화번호가 뭔가요</t>
    </r>
    <r>
      <rPr>
        <sz val="10"/>
        <rFont val="맑은 고딕"/>
        <family val="0"/>
        <charset val="1"/>
      </rPr>
      <t xml:space="preserve">?</t>
    </r>
  </si>
  <si>
    <t xml:space="preserve">Q089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</si>
  <si>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장애인 </t>
    </r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지원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지원 내용이 뭔가요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</si>
  <si>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지원</t>
    </r>
    <r>
      <rPr>
        <sz val="10"/>
        <rFont val="맑은 고딕"/>
        <family val="0"/>
        <charset val="1"/>
      </rPr>
      <t xml:space="preserve">}: </t>
    </r>
    <r>
      <rPr>
        <sz val="10"/>
        <rFont val="Noto Sans CJK SC"/>
        <family val="2"/>
      </rPr>
      <t xml:space="preserve">보조기기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주거 편의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이동 지원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일자리</t>
    </r>
  </si>
  <si>
    <t xml:space="preserve">Q090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</si>
  <si>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{</t>
    </r>
    <r>
      <rPr>
        <sz val="10"/>
        <rFont val="Noto Sans CJK SC"/>
        <family val="2"/>
      </rPr>
      <t xml:space="preserve">세목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납부 기한이 언제인가요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</si>
  <si>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세목</t>
    </r>
    <r>
      <rPr>
        <sz val="10"/>
        <rFont val="맑은 고딕"/>
        <family val="0"/>
        <charset val="1"/>
      </rPr>
      <t xml:space="preserve">}: </t>
    </r>
    <r>
      <rPr>
        <sz val="10"/>
        <rFont val="Noto Sans CJK SC"/>
        <family val="2"/>
      </rPr>
      <t xml:space="preserve">재산세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재산세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자동차세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주민세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등록면허세</t>
    </r>
  </si>
  <si>
    <t xml:space="preserve">Q091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</si>
  <si>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지방세 납부 방법이 뭐가 있나요</t>
    </r>
    <r>
      <rPr>
        <sz val="10"/>
        <rFont val="맑은 고딕"/>
        <family val="0"/>
        <charset val="1"/>
      </rPr>
      <t xml:space="preserve">?</t>
    </r>
  </si>
  <si>
    <t xml:space="preserve">Q092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</si>
  <si>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자동차세 연납 신청은 언제까지인가요</t>
    </r>
    <r>
      <rPr>
        <sz val="10"/>
        <rFont val="맑은 고딕"/>
        <family val="0"/>
        <charset val="1"/>
      </rPr>
      <t xml:space="preserve">?</t>
    </r>
  </si>
  <si>
    <t xml:space="preserve">Q093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</si>
  <si>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재산세 분납 조건이 뭔가요</t>
    </r>
    <r>
      <rPr>
        <sz val="10"/>
        <rFont val="맑은 고딕"/>
        <family val="0"/>
        <charset val="1"/>
      </rPr>
      <t xml:space="preserve">?</t>
    </r>
  </si>
  <si>
    <t xml:space="preserve">Q094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</si>
  <si>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세무과 전화번호가 뭔가요</t>
    </r>
    <r>
      <rPr>
        <sz val="10"/>
        <rFont val="맑은 고딕"/>
        <family val="0"/>
        <charset val="1"/>
      </rPr>
      <t xml:space="preserve">?</t>
    </r>
  </si>
  <si>
    <t xml:space="preserve">Q095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</si>
  <si>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수도 요금은 얼마인가요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</si>
  <si>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용도</t>
    </r>
    <r>
      <rPr>
        <sz val="10"/>
        <rFont val="맑은 고딕"/>
        <family val="0"/>
        <charset val="1"/>
      </rPr>
      <t xml:space="preserve">}: </t>
    </r>
    <r>
      <rPr>
        <sz val="10"/>
        <rFont val="Noto Sans CJK SC"/>
        <family val="2"/>
      </rPr>
      <t xml:space="preserve">가정용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일반용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욕탕용</t>
    </r>
  </si>
  <si>
    <t xml:space="preserve">Q096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</si>
  <si>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수도 요금 감면 대상이 누구인가요</t>
    </r>
    <r>
      <rPr>
        <sz val="10"/>
        <rFont val="맑은 고딕"/>
        <family val="0"/>
        <charset val="1"/>
      </rPr>
      <t xml:space="preserve">?</t>
    </r>
  </si>
  <si>
    <t xml:space="preserve">Q097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</si>
  <si>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수도 요금 자동이체 신청은 어떻게 하나요</t>
    </r>
    <r>
      <rPr>
        <sz val="10"/>
        <rFont val="맑은 고딕"/>
        <family val="0"/>
        <charset val="1"/>
      </rPr>
      <t xml:space="preserve">?</t>
    </r>
  </si>
  <si>
    <t xml:space="preserve">Q098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</si>
  <si>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상하수도 고장 신고 전화번호가 뭔가요</t>
    </r>
    <r>
      <rPr>
        <sz val="10"/>
        <rFont val="맑은 고딕"/>
        <family val="0"/>
        <charset val="1"/>
      </rPr>
      <t xml:space="preserve">?</t>
    </r>
  </si>
  <si>
    <t xml:space="preserve">Q099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</si>
  <si>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전출할 때 수도 요금 정산은 어떻게 하나요</t>
    </r>
    <r>
      <rPr>
        <sz val="10"/>
        <rFont val="맑은 고딕"/>
        <family val="0"/>
        <charset val="1"/>
      </rPr>
      <t xml:space="preserve">?</t>
    </r>
  </si>
  <si>
    <t xml:space="preserve">Q100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</si>
  <si>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과태료 이의신청 기한이 며칠인가요</t>
    </r>
    <r>
      <rPr>
        <sz val="10"/>
        <rFont val="맑은 고딕"/>
        <family val="0"/>
        <charset val="1"/>
      </rPr>
      <t xml:space="preserve">?</t>
    </r>
  </si>
  <si>
    <t xml:space="preserve">Q101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</si>
  <si>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지방세 환급금은 어떻게 받나요</t>
    </r>
    <r>
      <rPr>
        <sz val="10"/>
        <rFont val="맑은 고딕"/>
        <family val="0"/>
        <charset val="1"/>
      </rPr>
      <t xml:space="preserve">?</t>
    </r>
  </si>
  <si>
    <t xml:space="preserve">Q102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</si>
  <si>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과태료 분할 납부 가능한가요</t>
    </r>
    <r>
      <rPr>
        <sz val="10"/>
        <rFont val="맑은 고딕"/>
        <family val="0"/>
        <charset val="1"/>
      </rPr>
      <t xml:space="preserve">?</t>
    </r>
  </si>
  <si>
    <t xml:space="preserve">Q103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</si>
  <si>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지방세 체납 상담 전화번호 알려주세요</t>
    </r>
  </si>
  <si>
    <t xml:space="preserve">Q104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</si>
  <si>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지역화폐 할인율이 몇 퍼센트인가요</t>
    </r>
    <r>
      <rPr>
        <sz val="10"/>
        <rFont val="맑은 고딕"/>
        <family val="0"/>
        <charset val="1"/>
      </rPr>
      <t xml:space="preserve">?</t>
    </r>
  </si>
  <si>
    <t xml:space="preserve">Q105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</si>
  <si>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지역화폐 월 구매 한도가 얼마인가요</t>
    </r>
    <r>
      <rPr>
        <sz val="10"/>
        <rFont val="맑은 고딕"/>
        <family val="0"/>
        <charset val="1"/>
      </rPr>
      <t xml:space="preserve">?</t>
    </r>
  </si>
  <si>
    <t xml:space="preserve">Q106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</si>
  <si>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지역화폐는 어디서 살 수 있나요</t>
    </r>
    <r>
      <rPr>
        <sz val="10"/>
        <rFont val="맑은 고딕"/>
        <family val="0"/>
        <charset val="1"/>
      </rPr>
      <t xml:space="preserve">?</t>
    </r>
  </si>
  <si>
    <t xml:space="preserve">Q107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</si>
  <si>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지역화폐 가맹점은 어떻게 확인하나요</t>
    </r>
    <r>
      <rPr>
        <sz val="10"/>
        <rFont val="맑은 고딕"/>
        <family val="0"/>
        <charset val="1"/>
      </rPr>
      <t xml:space="preserve">?</t>
    </r>
  </si>
  <si>
    <t xml:space="preserve">Q108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</si>
  <si>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{</t>
    </r>
    <r>
      <rPr>
        <sz val="10"/>
        <rFont val="Noto Sans CJK SC"/>
        <family val="2"/>
      </rPr>
      <t xml:space="preserve">동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지진 대피소가 어디인가요</t>
    </r>
    <r>
      <rPr>
        <sz val="10"/>
        <rFont val="맑은 고딕"/>
        <family val="0"/>
        <charset val="1"/>
      </rPr>
      <t xml:space="preserve">?</t>
    </r>
  </si>
  <si>
    <t xml:space="preserve">Q109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</si>
  <si>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무더위쉼터는 어디에 있나요</t>
    </r>
    <r>
      <rPr>
        <sz val="10"/>
        <rFont val="맑은 고딕"/>
        <family val="0"/>
        <charset val="1"/>
      </rPr>
      <t xml:space="preserve">?</t>
    </r>
  </si>
  <si>
    <t xml:space="preserve">Q110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</si>
  <si>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한파쉼터 운영 시간이 언제인가요</t>
    </r>
    <r>
      <rPr>
        <sz val="10"/>
        <rFont val="맑은 고딕"/>
        <family val="0"/>
        <charset val="1"/>
      </rPr>
      <t xml:space="preserve">?</t>
    </r>
  </si>
  <si>
    <t xml:space="preserve">Q111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</si>
  <si>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재난 상황실 전화번호가 뭔가요</t>
    </r>
    <r>
      <rPr>
        <sz val="10"/>
        <rFont val="맑은 고딕"/>
        <family val="0"/>
        <charset val="1"/>
      </rPr>
      <t xml:space="preserve">?</t>
    </r>
  </si>
  <si>
    <t xml:space="preserve">Q112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</si>
  <si>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침수 시 대피 장소가 어디인가요</t>
    </r>
    <r>
      <rPr>
        <sz val="10"/>
        <rFont val="맑은 고딕"/>
        <family val="0"/>
        <charset val="1"/>
      </rPr>
      <t xml:space="preserve">?</t>
    </r>
  </si>
  <si>
    <t xml:space="preserve">Q113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</si>
  <si>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민방위 교육은 언제 하나요</t>
    </r>
    <r>
      <rPr>
        <sz val="10"/>
        <rFont val="맑은 고딕"/>
        <family val="0"/>
        <charset val="1"/>
      </rPr>
      <t xml:space="preserve">?</t>
    </r>
  </si>
  <si>
    <t xml:space="preserve">Q114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</si>
  <si>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민방위 교육 장소가 어디인가요</t>
    </r>
    <r>
      <rPr>
        <sz val="10"/>
        <rFont val="맑은 고딕"/>
        <family val="0"/>
        <charset val="1"/>
      </rPr>
      <t xml:space="preserve">?</t>
    </r>
  </si>
  <si>
    <t xml:space="preserve">Q115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</si>
  <si>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민방위 교육 불참하면 어떻게 되나요</t>
    </r>
    <r>
      <rPr>
        <sz val="10"/>
        <rFont val="맑은 고딕"/>
        <family val="0"/>
        <charset val="1"/>
      </rPr>
      <t xml:space="preserve">?</t>
    </r>
  </si>
  <si>
    <t xml:space="preserve">Q116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</si>
  <si>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민방위 사이버 교육 대상이 누구인가요</t>
    </r>
    <r>
      <rPr>
        <sz val="10"/>
        <rFont val="맑은 고딕"/>
        <family val="0"/>
        <charset val="1"/>
      </rPr>
      <t xml:space="preserve">?</t>
    </r>
  </si>
  <si>
    <t xml:space="preserve">Q117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</si>
  <si>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풍수해보험 가입 지원이 있나요</t>
    </r>
    <r>
      <rPr>
        <sz val="10"/>
        <rFont val="맑은 고딕"/>
        <family val="0"/>
        <charset val="1"/>
      </rPr>
      <t xml:space="preserve">?</t>
    </r>
  </si>
  <si>
    <t xml:space="preserve">Q118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</si>
  <si>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시민안전보험 보장 내용이 뭔가요</t>
    </r>
    <r>
      <rPr>
        <sz val="10"/>
        <rFont val="맑은 고딕"/>
        <family val="0"/>
        <charset val="1"/>
      </rPr>
      <t xml:space="preserve">?</t>
    </r>
  </si>
  <si>
    <t xml:space="preserve">Q119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</si>
  <si>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시민안전보험 청구는 어떻게 하나요</t>
    </r>
    <r>
      <rPr>
        <sz val="10"/>
        <rFont val="맑은 고딕"/>
        <family val="0"/>
        <charset val="1"/>
      </rPr>
      <t xml:space="preserve">?</t>
    </r>
  </si>
  <si>
    <t xml:space="preserve">Q120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</si>
  <si>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시민안전보험 보상 한도가 얼마인가요</t>
    </r>
    <r>
      <rPr>
        <sz val="10"/>
        <rFont val="맑은 고딕"/>
        <family val="0"/>
        <charset val="1"/>
      </rPr>
      <t xml:space="preserve">?</t>
    </r>
  </si>
  <si>
    <t xml:space="preserve">Q121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</si>
  <si>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{</t>
    </r>
    <r>
      <rPr>
        <sz val="10"/>
        <rFont val="Noto Sans CJK SC"/>
        <family val="2"/>
      </rPr>
      <t xml:space="preserve">신고종류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신고는 어디에 하나요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</si>
  <si>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신고종류</t>
    </r>
    <r>
      <rPr>
        <sz val="10"/>
        <rFont val="맑은 고딕"/>
        <family val="0"/>
        <charset val="1"/>
      </rPr>
      <t xml:space="preserve">}: </t>
    </r>
    <r>
      <rPr>
        <sz val="10"/>
        <rFont val="Noto Sans CJK SC"/>
        <family val="2"/>
      </rPr>
      <t xml:space="preserve">불법 주정차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쓰레기 무단투기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소음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불법 광고물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공사장 민원</t>
    </r>
  </si>
  <si>
    <t xml:space="preserve">Q122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</si>
  <si>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안전신문고 신고 처리 기간이 얼마나 되나요</t>
    </r>
    <r>
      <rPr>
        <sz val="10"/>
        <rFont val="맑은 고딕"/>
        <family val="0"/>
        <charset val="1"/>
      </rPr>
      <t xml:space="preserve">?</t>
    </r>
  </si>
  <si>
    <t xml:space="preserve">Q123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</si>
  <si>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당직실 전화번호가 뭔가요</t>
    </r>
    <r>
      <rPr>
        <sz val="10"/>
        <rFont val="맑은 고딕"/>
        <family val="0"/>
        <charset val="1"/>
      </rPr>
      <t xml:space="preserve">?</t>
    </r>
  </si>
  <si>
    <t xml:space="preserve">Q124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</si>
  <si>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층간소음 상담은 어디에 하나요</t>
    </r>
    <r>
      <rPr>
        <sz val="10"/>
        <rFont val="맑은 고딕"/>
        <family val="0"/>
        <charset val="1"/>
      </rPr>
      <t xml:space="preserve">?</t>
    </r>
  </si>
  <si>
    <t xml:space="preserve">Q125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</si>
  <si>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어린이집 입소 대기 신청은 어떻게 하나요</t>
    </r>
    <r>
      <rPr>
        <sz val="10"/>
        <rFont val="맑은 고딕"/>
        <family val="0"/>
        <charset val="1"/>
      </rPr>
      <t xml:space="preserve">?</t>
    </r>
  </si>
  <si>
    <t xml:space="preserve">Q126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</si>
  <si>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국공립 어린이집은 몇 곳인가요</t>
    </r>
    <r>
      <rPr>
        <sz val="10"/>
        <rFont val="맑은 고딕"/>
        <family val="0"/>
        <charset val="1"/>
      </rPr>
      <t xml:space="preserve">?</t>
    </r>
  </si>
  <si>
    <t xml:space="preserve">Q127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</si>
  <si>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어린이집 입소 우선순위가 어떻게 되나요</t>
    </r>
    <r>
      <rPr>
        <sz val="10"/>
        <rFont val="맑은 고딕"/>
        <family val="0"/>
        <charset val="1"/>
      </rPr>
      <t xml:space="preserve">?</t>
    </r>
  </si>
  <si>
    <t xml:space="preserve">Q128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</si>
  <si>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보육 담당 부서 전화번호 알려주세요</t>
    </r>
  </si>
  <si>
    <t xml:space="preserve">Q129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</si>
  <si>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육아종합지원센터는 어디에 있나요</t>
    </r>
    <r>
      <rPr>
        <sz val="10"/>
        <rFont val="맑은 고딕"/>
        <family val="0"/>
        <charset val="1"/>
      </rPr>
      <t xml:space="preserve">?</t>
    </r>
  </si>
  <si>
    <t xml:space="preserve">Q130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</si>
  <si>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장난감 도서관 대여 방법이 뭔가요</t>
    </r>
    <r>
      <rPr>
        <sz val="10"/>
        <rFont val="맑은 고딕"/>
        <family val="0"/>
        <charset val="1"/>
      </rPr>
      <t xml:space="preserve">?</t>
    </r>
  </si>
  <si>
    <t xml:space="preserve">Q131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</si>
  <si>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육아종합지원센터 운영 시간이 언제인가요</t>
    </r>
    <r>
      <rPr>
        <sz val="10"/>
        <rFont val="맑은 고딕"/>
        <family val="0"/>
        <charset val="1"/>
      </rPr>
      <t xml:space="preserve">?</t>
    </r>
  </si>
  <si>
    <t xml:space="preserve">Q132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</si>
  <si>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아이돌봄 서비스 신청은 어디서 하나요</t>
    </r>
    <r>
      <rPr>
        <sz val="10"/>
        <rFont val="맑은 고딕"/>
        <family val="0"/>
        <charset val="1"/>
      </rPr>
      <t xml:space="preserve">?</t>
    </r>
  </si>
  <si>
    <t xml:space="preserve">Q133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</si>
  <si>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평생학습관 수강 신청은 언제 하나요</t>
    </r>
    <r>
      <rPr>
        <sz val="10"/>
        <rFont val="맑은 고딕"/>
        <family val="0"/>
        <charset val="1"/>
      </rPr>
      <t xml:space="preserve">?</t>
    </r>
  </si>
  <si>
    <t xml:space="preserve">Q134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</si>
  <si>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청소년수련관은 어디에 있나요</t>
    </r>
    <r>
      <rPr>
        <sz val="10"/>
        <rFont val="맑은 고딕"/>
        <family val="0"/>
        <charset val="1"/>
      </rPr>
      <t xml:space="preserve">?</t>
    </r>
  </si>
  <si>
    <t xml:space="preserve">Q135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</si>
  <si>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평생학습 강좌 수강료가 얼마인가요</t>
    </r>
    <r>
      <rPr>
        <sz val="10"/>
        <rFont val="맑은 고딕"/>
        <family val="0"/>
        <charset val="1"/>
      </rPr>
      <t xml:space="preserve">?</t>
    </r>
  </si>
  <si>
    <t xml:space="preserve">Q136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</si>
  <si>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청소년 상담 전화번호가 뭔가요</t>
    </r>
    <r>
      <rPr>
        <sz val="10"/>
        <rFont val="맑은 고딕"/>
        <family val="0"/>
        <charset val="1"/>
      </rPr>
      <t xml:space="preserve">?</t>
    </r>
  </si>
  <si>
    <t xml:space="preserve">Q137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</si>
  <si>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교육경비 지원 사업 대상이 뭔가요</t>
    </r>
    <r>
      <rPr>
        <sz val="10"/>
        <rFont val="맑은 고딕"/>
        <family val="0"/>
        <charset val="1"/>
      </rPr>
      <t xml:space="preserve">?</t>
    </r>
  </si>
  <si>
    <t xml:space="preserve">Q138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</si>
  <si>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장학금 신청은 언제 하나요</t>
    </r>
    <r>
      <rPr>
        <sz val="10"/>
        <rFont val="맑은 고딕"/>
        <family val="0"/>
        <charset val="1"/>
      </rPr>
      <t xml:space="preserve">?</t>
    </r>
  </si>
  <si>
    <t xml:space="preserve">Q139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</si>
  <si>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학교 밖 청소년 지원센터는 어디인가요</t>
    </r>
    <r>
      <rPr>
        <sz val="10"/>
        <rFont val="맑은 고딕"/>
        <family val="0"/>
        <charset val="1"/>
      </rPr>
      <t xml:space="preserve">?</t>
    </r>
  </si>
  <si>
    <t xml:space="preserve">Q140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</si>
  <si>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장학재단 전화번호 알려주세요</t>
    </r>
  </si>
  <si>
    <t xml:space="preserve">Q141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</si>
  <si>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도서관 대출 권수와 기간이 어떻게 되나요</t>
    </r>
    <r>
      <rPr>
        <sz val="10"/>
        <rFont val="맑은 고딕"/>
        <family val="0"/>
        <charset val="1"/>
      </rPr>
      <t xml:space="preserve">?</t>
    </r>
  </si>
  <si>
    <t xml:space="preserve">Q142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</si>
  <si>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{</t>
    </r>
    <r>
      <rPr>
        <sz val="10"/>
        <rFont val="Noto Sans CJK SC"/>
        <family val="2"/>
      </rPr>
      <t xml:space="preserve">도서관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휴관일이 언제인가요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</si>
  <si>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도서관</t>
    </r>
    <r>
      <rPr>
        <sz val="10"/>
        <rFont val="맑은 고딕"/>
        <family val="0"/>
        <charset val="1"/>
      </rPr>
      <t xml:space="preserve">}: </t>
    </r>
    <r>
      <rPr>
        <sz val="10"/>
        <rFont val="Noto Sans CJK SC"/>
        <family val="2"/>
      </rPr>
      <t xml:space="preserve">지자체 공공도서관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곳 표집</t>
    </r>
  </si>
  <si>
    <t xml:space="preserve">Q143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</si>
  <si>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도서관 회원 가입은 어떻게 하나요</t>
    </r>
    <r>
      <rPr>
        <sz val="10"/>
        <rFont val="맑은 고딕"/>
        <family val="0"/>
        <charset val="1"/>
      </rPr>
      <t xml:space="preserve">?</t>
    </r>
  </si>
  <si>
    <t xml:space="preserve">Q144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</si>
  <si>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도서관 운영 시간이 언제인가요</t>
    </r>
    <r>
      <rPr>
        <sz val="10"/>
        <rFont val="맑은 고딕"/>
        <family val="0"/>
        <charset val="1"/>
      </rPr>
      <t xml:space="preserve">?</t>
    </r>
  </si>
  <si>
    <t xml:space="preserve">Q145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</si>
  <si>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전자책 대출 서비스가 있나요</t>
    </r>
    <r>
      <rPr>
        <sz val="10"/>
        <rFont val="맑은 고딕"/>
        <family val="0"/>
        <charset val="1"/>
      </rPr>
      <t xml:space="preserve">?</t>
    </r>
  </si>
  <si>
    <t xml:space="preserve">Q146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</si>
  <si>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문화회관 대관 신청은 어떻게 하나요</t>
    </r>
    <r>
      <rPr>
        <sz val="10"/>
        <rFont val="맑은 고딕"/>
        <family val="0"/>
        <charset val="1"/>
      </rPr>
      <t xml:space="preserve">?</t>
    </r>
  </si>
  <si>
    <t xml:space="preserve">Q147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</si>
  <si>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문화회관 대관료가 얼마인가요</t>
    </r>
    <r>
      <rPr>
        <sz val="10"/>
        <rFont val="맑은 고딕"/>
        <family val="0"/>
        <charset val="1"/>
      </rPr>
      <t xml:space="preserve">?</t>
    </r>
  </si>
  <si>
    <t xml:space="preserve">Q148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</si>
  <si>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이번 달 공연 일정이 어떻게 되나요</t>
    </r>
    <r>
      <rPr>
        <sz val="10"/>
        <rFont val="맑은 고딕"/>
        <family val="0"/>
        <charset val="1"/>
      </rPr>
      <t xml:space="preserve">?</t>
    </r>
  </si>
  <si>
    <t xml:space="preserve">Q149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</si>
  <si>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문화회관 전화번호가 뭔가요</t>
    </r>
    <r>
      <rPr>
        <sz val="10"/>
        <rFont val="맑은 고딕"/>
        <family val="0"/>
        <charset val="1"/>
      </rPr>
      <t xml:space="preserve">?</t>
    </r>
  </si>
  <si>
    <t xml:space="preserve">Q150</t>
  </si>
  <si>
    <t xml:space="preserve">목록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</si>
  <si>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대표 축제가 뭔가요</t>
    </r>
    <r>
      <rPr>
        <sz val="10"/>
        <rFont val="맑은 고딕"/>
        <family val="0"/>
        <charset val="1"/>
      </rPr>
      <t xml:space="preserve">?</t>
    </r>
  </si>
  <si>
    <t xml:space="preserve">Q151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</si>
  <si>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{</t>
    </r>
    <r>
      <rPr>
        <sz val="10"/>
        <rFont val="Noto Sans CJK SC"/>
        <family val="2"/>
      </rPr>
      <t xml:space="preserve">축제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올해 일정이 언제인가요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</si>
  <si>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축제</t>
    </r>
    <r>
      <rPr>
        <sz val="10"/>
        <rFont val="맑은 고딕"/>
        <family val="0"/>
        <charset val="1"/>
      </rPr>
      <t xml:space="preserve">}: </t>
    </r>
    <r>
      <rPr>
        <sz val="10"/>
        <rFont val="Noto Sans CJK SC"/>
        <family val="2"/>
      </rPr>
      <t xml:space="preserve">지자체 대표 축제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문체부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지자체 공식 목록</t>
    </r>
    <r>
      <rPr>
        <sz val="10"/>
        <rFont val="맑은 고딕"/>
        <family val="0"/>
        <charset val="1"/>
      </rPr>
      <t xml:space="preserve">)</t>
    </r>
  </si>
  <si>
    <t xml:space="preserve">Q152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</si>
  <si>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{</t>
    </r>
    <r>
      <rPr>
        <sz val="10"/>
        <rFont val="Noto Sans CJK SC"/>
        <family val="2"/>
      </rPr>
      <t xml:space="preserve">축제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장소가 어디인가요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</si>
  <si>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축제</t>
    </r>
    <r>
      <rPr>
        <sz val="10"/>
        <rFont val="맑은 고딕"/>
        <family val="0"/>
        <charset val="1"/>
      </rPr>
      <t xml:space="preserve">}: </t>
    </r>
    <r>
      <rPr>
        <sz val="10"/>
        <rFont val="Noto Sans CJK SC"/>
        <family val="2"/>
      </rPr>
      <t xml:space="preserve">위와 동일</t>
    </r>
  </si>
  <si>
    <t xml:space="preserve">Q153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</si>
  <si>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{</t>
    </r>
    <r>
      <rPr>
        <sz val="10"/>
        <rFont val="Noto Sans CJK SC"/>
        <family val="2"/>
      </rPr>
      <t xml:space="preserve">축제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주차는 어디에 하나요</t>
    </r>
    <r>
      <rPr>
        <sz val="10"/>
        <rFont val="맑은 고딕"/>
        <family val="0"/>
        <charset val="1"/>
      </rPr>
      <t xml:space="preserve">?</t>
    </r>
  </si>
  <si>
    <t xml:space="preserve">Q154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</si>
  <si>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관광 안내소는 어디에 있나요</t>
    </r>
    <r>
      <rPr>
        <sz val="10"/>
        <rFont val="맑은 고딕"/>
        <family val="0"/>
        <charset val="1"/>
      </rPr>
      <t xml:space="preserve">?</t>
    </r>
  </si>
  <si>
    <t xml:space="preserve">Q155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</si>
  <si>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공식 관광 명소 </t>
    </r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명소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입장료가 얼마인가요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</si>
  <si>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명소</t>
    </r>
    <r>
      <rPr>
        <sz val="10"/>
        <rFont val="맑은 고딕"/>
        <family val="0"/>
        <charset val="1"/>
      </rPr>
      <t xml:space="preserve">}: </t>
    </r>
    <r>
      <rPr>
        <sz val="10"/>
        <rFont val="Noto Sans CJK SC"/>
        <family val="2"/>
      </rPr>
      <t xml:space="preserve">공식 관광 목록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곳 표집</t>
    </r>
  </si>
  <si>
    <t xml:space="preserve">Q156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</si>
  <si>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체육센터 수영 강습 신청은 언제 하나요</t>
    </r>
    <r>
      <rPr>
        <sz val="10"/>
        <rFont val="맑은 고딕"/>
        <family val="0"/>
        <charset val="1"/>
      </rPr>
      <t xml:space="preserve">?</t>
    </r>
  </si>
  <si>
    <t xml:space="preserve">Q157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</si>
  <si>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체육센터 수강료가 얼마인가요</t>
    </r>
    <r>
      <rPr>
        <sz val="10"/>
        <rFont val="맑은 고딕"/>
        <family val="0"/>
        <charset val="1"/>
      </rPr>
      <t xml:space="preserve">?</t>
    </r>
  </si>
  <si>
    <t xml:space="preserve">Q158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</si>
  <si>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공공 체육시설 예약은 어떻게 하나요</t>
    </r>
    <r>
      <rPr>
        <sz val="10"/>
        <rFont val="맑은 고딕"/>
        <family val="0"/>
        <charset val="1"/>
      </rPr>
      <t xml:space="preserve">?</t>
    </r>
  </si>
  <si>
    <t xml:space="preserve">Q159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</si>
  <si>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건축 신고는 어디서 하나요</t>
    </r>
    <r>
      <rPr>
        <sz val="10"/>
        <rFont val="맑은 고딕"/>
        <family val="0"/>
        <charset val="1"/>
      </rPr>
      <t xml:space="preserve">?</t>
    </r>
  </si>
  <si>
    <t xml:space="preserve">Q160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</si>
  <si>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건축 허가 처리 기간이 얼마나 되나요</t>
    </r>
    <r>
      <rPr>
        <sz val="10"/>
        <rFont val="맑은 고딕"/>
        <family val="0"/>
        <charset val="1"/>
      </rPr>
      <t xml:space="preserve">?</t>
    </r>
  </si>
  <si>
    <t xml:space="preserve">Q161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</si>
  <si>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건축과 전화번호가 뭔가요</t>
    </r>
    <r>
      <rPr>
        <sz val="10"/>
        <rFont val="맑은 고딕"/>
        <family val="0"/>
        <charset val="1"/>
      </rPr>
      <t xml:space="preserve">?</t>
    </r>
  </si>
  <si>
    <t xml:space="preserve">Q162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</si>
  <si>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불법 건축물 신고는 어떻게 하나요</t>
    </r>
    <r>
      <rPr>
        <sz val="10"/>
        <rFont val="맑은 고딕"/>
        <family val="0"/>
        <charset val="1"/>
      </rPr>
      <t xml:space="preserve">?</t>
    </r>
  </si>
  <si>
    <t xml:space="preserve">Q163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</si>
  <si>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공동주택 지원 사업 대상이 뭔가요</t>
    </r>
    <r>
      <rPr>
        <sz val="10"/>
        <rFont val="맑은 고딕"/>
        <family val="0"/>
        <charset val="1"/>
      </rPr>
      <t xml:space="preserve">?</t>
    </r>
  </si>
  <si>
    <t xml:space="preserve">Q164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</si>
  <si>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공동주택 지원 신청 시기가 언제인가요</t>
    </r>
    <r>
      <rPr>
        <sz val="10"/>
        <rFont val="맑은 고딕"/>
        <family val="0"/>
        <charset val="1"/>
      </rPr>
      <t xml:space="preserve">?</t>
    </r>
  </si>
  <si>
    <t xml:space="preserve">Q165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</si>
  <si>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아파트 관리비 분쟁 상담은 어디서 하나요</t>
    </r>
    <r>
      <rPr>
        <sz val="10"/>
        <rFont val="맑은 고딕"/>
        <family val="0"/>
        <charset val="1"/>
      </rPr>
      <t xml:space="preserve">?</t>
    </r>
  </si>
  <si>
    <t xml:space="preserve">Q166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</si>
  <si>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공동주택 관리 담당 부서 전화번호 알려주세요</t>
    </r>
  </si>
  <si>
    <t xml:space="preserve">Q167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</si>
  <si>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전세 피해 상담은 어디서 받나요</t>
    </r>
    <r>
      <rPr>
        <sz val="10"/>
        <rFont val="맑은 고딕"/>
        <family val="0"/>
        <charset val="1"/>
      </rPr>
      <t xml:space="preserve">?</t>
    </r>
  </si>
  <si>
    <t xml:space="preserve">Q168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</si>
  <si>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전세사기 피해자 지원 내용이 뭔가요</t>
    </r>
    <r>
      <rPr>
        <sz val="10"/>
        <rFont val="맑은 고딕"/>
        <family val="0"/>
        <charset val="1"/>
      </rPr>
      <t xml:space="preserve">?</t>
    </r>
  </si>
  <si>
    <t xml:space="preserve">Q169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</si>
  <si>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전세 피해 상담 전화번호가 뭔가요</t>
    </r>
    <r>
      <rPr>
        <sz val="10"/>
        <rFont val="맑은 고딕"/>
        <family val="0"/>
        <charset val="1"/>
      </rPr>
      <t xml:space="preserve">?</t>
    </r>
  </si>
  <si>
    <t xml:space="preserve">Q170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</si>
  <si>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주거복지센터는 어디에 있나요</t>
    </r>
    <r>
      <rPr>
        <sz val="10"/>
        <rFont val="맑은 고딕"/>
        <family val="0"/>
        <charset val="1"/>
      </rPr>
      <t xml:space="preserve">?</t>
    </r>
  </si>
  <si>
    <t xml:space="preserve">Q171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</si>
  <si>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주거급여 신청은 어디서 하나요</t>
    </r>
    <r>
      <rPr>
        <sz val="10"/>
        <rFont val="맑은 고딕"/>
        <family val="0"/>
        <charset val="1"/>
      </rPr>
      <t xml:space="preserve">?</t>
    </r>
  </si>
  <si>
    <t xml:space="preserve">Q172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</si>
  <si>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공공임대주택 모집 공고는 어디서 확인하나요</t>
    </r>
    <r>
      <rPr>
        <sz val="10"/>
        <rFont val="맑은 고딕"/>
        <family val="0"/>
        <charset val="1"/>
      </rPr>
      <t xml:space="preserve">?</t>
    </r>
  </si>
  <si>
    <t xml:space="preserve">Q173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</si>
  <si>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청년 월세 지원 신청 자격이 뭔가요</t>
    </r>
    <r>
      <rPr>
        <sz val="10"/>
        <rFont val="맑은 고딕"/>
        <family val="0"/>
        <charset val="1"/>
      </rPr>
      <t xml:space="preserve">?</t>
    </r>
  </si>
  <si>
    <t xml:space="preserve">Q174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</si>
  <si>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청년 월세 지원 금액이 얼마인가요</t>
    </r>
    <r>
      <rPr>
        <sz val="10"/>
        <rFont val="맑은 고딕"/>
        <family val="0"/>
        <charset val="1"/>
      </rPr>
      <t xml:space="preserve">?</t>
    </r>
  </si>
  <si>
    <t xml:space="preserve">Q175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</si>
  <si>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신혼부부 주거 지원 사업이 있나요</t>
    </r>
    <r>
      <rPr>
        <sz val="10"/>
        <rFont val="맑은 고딕"/>
        <family val="0"/>
        <charset val="1"/>
      </rPr>
      <t xml:space="preserve">?</t>
    </r>
  </si>
  <si>
    <t xml:space="preserve">Q176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</si>
  <si>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소상공인 지원 사업 뭐가 있나요</t>
    </r>
    <r>
      <rPr>
        <sz val="10"/>
        <rFont val="맑은 고딕"/>
        <family val="0"/>
        <charset val="1"/>
      </rPr>
      <t xml:space="preserve">?</t>
    </r>
  </si>
  <si>
    <t xml:space="preserve">Q177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</si>
  <si>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소상공인 지원 신청은 어디서 하나요</t>
    </r>
    <r>
      <rPr>
        <sz val="10"/>
        <rFont val="맑은 고딕"/>
        <family val="0"/>
        <charset val="1"/>
      </rPr>
      <t xml:space="preserve">?</t>
    </r>
  </si>
  <si>
    <t xml:space="preserve">Q178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</si>
  <si>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소상공인 </t>
    </r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지원항목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지원 금액이 얼마인가요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</si>
  <si>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지원항목</t>
    </r>
    <r>
      <rPr>
        <sz val="10"/>
        <rFont val="맑은 고딕"/>
        <family val="0"/>
        <charset val="1"/>
      </rPr>
      <t xml:space="preserve">}: </t>
    </r>
    <r>
      <rPr>
        <sz val="10"/>
        <rFont val="Noto Sans CJK SC"/>
        <family val="2"/>
      </rPr>
      <t xml:space="preserve">간판 개선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경영 컨설팅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온라인 판로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폐업 지원</t>
    </r>
  </si>
  <si>
    <t xml:space="preserve">Q179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</si>
  <si>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경제과 전화번호가 뭔가요</t>
    </r>
    <r>
      <rPr>
        <sz val="10"/>
        <rFont val="맑은 고딕"/>
        <family val="0"/>
        <charset val="1"/>
      </rPr>
      <t xml:space="preserve">?</t>
    </r>
  </si>
  <si>
    <t xml:space="preserve">Q180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</si>
  <si>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일자리센터는 어디에 있나요</t>
    </r>
    <r>
      <rPr>
        <sz val="10"/>
        <rFont val="맑은 고딕"/>
        <family val="0"/>
        <charset val="1"/>
      </rPr>
      <t xml:space="preserve">?</t>
    </r>
  </si>
  <si>
    <t xml:space="preserve">Q181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</si>
  <si>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일자리센터 운영 시간이 언제인가요</t>
    </r>
    <r>
      <rPr>
        <sz val="10"/>
        <rFont val="맑은 고딕"/>
        <family val="0"/>
        <charset val="1"/>
      </rPr>
      <t xml:space="preserve">?</t>
    </r>
  </si>
  <si>
    <t xml:space="preserve">Q182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</si>
  <si>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일자리센터 전화번호가 뭔가요</t>
    </r>
    <r>
      <rPr>
        <sz val="10"/>
        <rFont val="맑은 고딕"/>
        <family val="0"/>
        <charset val="1"/>
      </rPr>
      <t xml:space="preserve">?</t>
    </r>
  </si>
  <si>
    <t xml:space="preserve">Q183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</si>
  <si>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취업 상담 예약은 어떻게 하나요</t>
    </r>
    <r>
      <rPr>
        <sz val="10"/>
        <rFont val="맑은 고딕"/>
        <family val="0"/>
        <charset val="1"/>
      </rPr>
      <t xml:space="preserve">?</t>
    </r>
  </si>
  <si>
    <t xml:space="preserve">Q184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</si>
  <si>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전통시장 </t>
    </r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시장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휴무일이 언제인가요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</si>
  <si>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시장</t>
    </r>
    <r>
      <rPr>
        <sz val="10"/>
        <rFont val="맑은 고딕"/>
        <family val="0"/>
        <charset val="1"/>
      </rPr>
      <t xml:space="preserve">}: </t>
    </r>
    <r>
      <rPr>
        <sz val="10"/>
        <rFont val="Noto Sans CJK SC"/>
        <family val="2"/>
      </rPr>
      <t xml:space="preserve">등록 전통시장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곳 표집</t>
    </r>
  </si>
  <si>
    <t xml:space="preserve">Q185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</si>
  <si>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전통시장 </t>
    </r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시장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주차장이 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</si>
  <si>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시장</t>
    </r>
    <r>
      <rPr>
        <sz val="10"/>
        <rFont val="맑은 고딕"/>
        <family val="0"/>
        <charset val="1"/>
      </rPr>
      <t xml:space="preserve">}: </t>
    </r>
    <r>
      <rPr>
        <sz val="10"/>
        <rFont val="Noto Sans CJK SC"/>
        <family val="2"/>
      </rPr>
      <t xml:space="preserve">위와 동일</t>
    </r>
  </si>
  <si>
    <t xml:space="preserve">Q186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</si>
  <si>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전통시장 장날이 언제인가요</t>
    </r>
    <r>
      <rPr>
        <sz val="10"/>
        <rFont val="맑은 고딕"/>
        <family val="0"/>
        <charset val="1"/>
      </rPr>
      <t xml:space="preserve">?</t>
    </r>
  </si>
  <si>
    <t xml:space="preserve">Q187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</si>
  <si>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전통시장 온누리상품권 환급 행사가 있나요</t>
    </r>
    <r>
      <rPr>
        <sz val="10"/>
        <rFont val="맑은 고딕"/>
        <family val="0"/>
        <charset val="1"/>
      </rPr>
      <t xml:space="preserve">?</t>
    </r>
  </si>
  <si>
    <t xml:space="preserve">Q188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</si>
  <si>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창업 지원 사업 모집 시기가 언제인가요</t>
    </r>
    <r>
      <rPr>
        <sz val="10"/>
        <rFont val="맑은 고딕"/>
        <family val="0"/>
        <charset val="1"/>
      </rPr>
      <t xml:space="preserve">?</t>
    </r>
  </si>
  <si>
    <t xml:space="preserve">Q189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</si>
  <si>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창업 지원 대상이 누구인가요</t>
    </r>
    <r>
      <rPr>
        <sz val="10"/>
        <rFont val="맑은 고딕"/>
        <family val="0"/>
        <charset val="1"/>
      </rPr>
      <t xml:space="preserve">?</t>
    </r>
  </si>
  <si>
    <t xml:space="preserve">Q190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</si>
  <si>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창업지원센터는 어디에 있나요</t>
    </r>
    <r>
      <rPr>
        <sz val="10"/>
        <rFont val="맑은 고딕"/>
        <family val="0"/>
        <charset val="1"/>
      </rPr>
      <t xml:space="preserve">?</t>
    </r>
  </si>
  <si>
    <t xml:space="preserve">Q191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</si>
  <si>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청년 창업 지원금이 얼마인가요</t>
    </r>
    <r>
      <rPr>
        <sz val="10"/>
        <rFont val="맑은 고딕"/>
        <family val="0"/>
        <charset val="1"/>
      </rPr>
      <t xml:space="preserve">?</t>
    </r>
  </si>
  <si>
    <t xml:space="preserve">Q192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</si>
  <si>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반려동물 등록은 어디서 하나요</t>
    </r>
    <r>
      <rPr>
        <sz val="10"/>
        <rFont val="맑은 고딕"/>
        <family val="0"/>
        <charset val="1"/>
      </rPr>
      <t xml:space="preserve">?</t>
    </r>
  </si>
  <si>
    <t xml:space="preserve">Q193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</si>
  <si>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반려동물 미등록 과태료가 얼마인가요</t>
    </r>
    <r>
      <rPr>
        <sz val="10"/>
        <rFont val="맑은 고딕"/>
        <family val="0"/>
        <charset val="1"/>
      </rPr>
      <t xml:space="preserve">?</t>
    </r>
  </si>
  <si>
    <t xml:space="preserve">Q194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</si>
  <si>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유기동물 보호소는 어디에 있나요</t>
    </r>
    <r>
      <rPr>
        <sz val="10"/>
        <rFont val="맑은 고딕"/>
        <family val="0"/>
        <charset val="1"/>
      </rPr>
      <t xml:space="preserve">?</t>
    </r>
  </si>
  <si>
    <t xml:space="preserve">Q195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</si>
  <si>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유기동물 신고 전화번호가 뭔가요</t>
    </r>
    <r>
      <rPr>
        <sz val="10"/>
        <rFont val="맑은 고딕"/>
        <family val="0"/>
        <charset val="1"/>
      </rPr>
      <t xml:space="preserve">?</t>
    </r>
  </si>
  <si>
    <t xml:space="preserve">Q196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</si>
  <si>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반려동물 등록 수수료가 얼마인가요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</si>
  <si>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방식</t>
    </r>
    <r>
      <rPr>
        <sz val="10"/>
        <rFont val="맑은 고딕"/>
        <family val="0"/>
        <charset val="1"/>
      </rPr>
      <t xml:space="preserve">}: </t>
    </r>
    <r>
      <rPr>
        <sz val="10"/>
        <rFont val="Noto Sans CJK SC"/>
        <family val="2"/>
      </rPr>
      <t xml:space="preserve">내장형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외장형</t>
    </r>
  </si>
  <si>
    <t xml:space="preserve">Q197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</si>
  <si>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{</t>
    </r>
    <r>
      <rPr>
        <sz val="10"/>
        <rFont val="Noto Sans CJK SC"/>
        <family val="2"/>
      </rPr>
      <t xml:space="preserve">시설고장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신고는 어디에 하나요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</si>
  <si>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시설고장</t>
    </r>
    <r>
      <rPr>
        <sz val="10"/>
        <rFont val="맑은 고딕"/>
        <family val="0"/>
        <charset val="1"/>
      </rPr>
      <t xml:space="preserve">}: </t>
    </r>
    <r>
      <rPr>
        <sz val="10"/>
        <rFont val="Noto Sans CJK SC"/>
        <family val="2"/>
      </rPr>
      <t xml:space="preserve">가로등 고장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도로 파손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보도블록 파손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맨홀 뚜껑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신호등 고장</t>
    </r>
  </si>
  <si>
    <t xml:space="preserve">Q198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</si>
  <si>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도로 파손 신고 처리 기간이 얼마나 되나요</t>
    </r>
    <r>
      <rPr>
        <sz val="10"/>
        <rFont val="맑은 고딕"/>
        <family val="0"/>
        <charset val="1"/>
      </rPr>
      <t xml:space="preserve">?</t>
    </r>
  </si>
  <si>
    <t xml:space="preserve">Q199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</si>
  <si>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가로등 고장 신고 전화번호가 뭔가요</t>
    </r>
    <r>
      <rPr>
        <sz val="10"/>
        <rFont val="맑은 고딕"/>
        <family val="0"/>
        <charset val="1"/>
      </rPr>
      <t xml:space="preserve">?</t>
    </r>
  </si>
  <si>
    <t xml:space="preserve">Q200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</si>
  <si>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제설 요청은 어디에 하나요</t>
    </r>
    <r>
      <rPr>
        <sz val="10"/>
        <rFont val="맑은 고딕"/>
        <family val="0"/>
        <charset val="1"/>
      </rPr>
      <t xml:space="preserve">?</t>
    </r>
  </si>
  <si>
    <t xml:space="preserve">Q201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</si>
  <si>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벌집 제거 신고는 어디에 하나요</t>
    </r>
    <r>
      <rPr>
        <sz val="10"/>
        <rFont val="맑은 고딕"/>
        <family val="0"/>
        <charset val="1"/>
      </rPr>
      <t xml:space="preserve">?</t>
    </r>
  </si>
  <si>
    <t xml:space="preserve">Q202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</si>
  <si>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방역 소독 요청은 어떻게 하나요</t>
    </r>
    <r>
      <rPr>
        <sz val="10"/>
        <rFont val="맑은 고딕"/>
        <family val="0"/>
        <charset val="1"/>
      </rPr>
      <t xml:space="preserve">?</t>
    </r>
  </si>
  <si>
    <t xml:space="preserve">Q203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</si>
  <si>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{</t>
    </r>
    <r>
      <rPr>
        <sz val="10"/>
        <rFont val="Noto Sans CJK SC"/>
        <family val="2"/>
      </rPr>
      <t xml:space="preserve">해충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방역 지원이 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</si>
  <si>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해충</t>
    </r>
    <r>
      <rPr>
        <sz val="10"/>
        <rFont val="맑은 고딕"/>
        <family val="0"/>
        <charset val="1"/>
      </rPr>
      <t xml:space="preserve">}: </t>
    </r>
    <r>
      <rPr>
        <sz val="10"/>
        <rFont val="Noto Sans CJK SC"/>
        <family val="2"/>
      </rPr>
      <t xml:space="preserve">모기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바퀴벌레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빈대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쥐</t>
    </r>
  </si>
  <si>
    <t xml:space="preserve">Q204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</si>
  <si>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멧돼지 출몰 신고는 어디에 하나요</t>
    </r>
    <r>
      <rPr>
        <sz val="10"/>
        <rFont val="맑은 고딕"/>
        <family val="0"/>
        <charset val="1"/>
      </rPr>
      <t xml:space="preserve">?</t>
    </r>
  </si>
  <si>
    <t xml:space="preserve">Q205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</si>
  <si>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공공 와이파이는 어디에서 쓸 수 있나요</t>
    </r>
    <r>
      <rPr>
        <sz val="10"/>
        <rFont val="맑은 고딕"/>
        <family val="0"/>
        <charset val="1"/>
      </rPr>
      <t xml:space="preserve">?</t>
    </r>
  </si>
  <si>
    <t xml:space="preserve">Q206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</si>
  <si>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CCTV </t>
    </r>
    <r>
      <rPr>
        <sz val="10"/>
        <rFont val="Noto Sans CJK SC"/>
        <family val="2"/>
      </rPr>
      <t xml:space="preserve">영상 열람 신청은 어떻게 하나요</t>
    </r>
    <r>
      <rPr>
        <sz val="10"/>
        <rFont val="맑은 고딕"/>
        <family val="0"/>
        <charset val="1"/>
      </rPr>
      <t xml:space="preserve">?</t>
    </r>
  </si>
  <si>
    <t xml:space="preserve">Q207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</si>
  <si>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CCTV </t>
    </r>
    <r>
      <rPr>
        <sz val="10"/>
        <rFont val="Noto Sans CJK SC"/>
        <family val="2"/>
      </rPr>
      <t xml:space="preserve">관제센터 전화번호가 뭔가요</t>
    </r>
    <r>
      <rPr>
        <sz val="10"/>
        <rFont val="맑은 고딕"/>
        <family val="0"/>
        <charset val="1"/>
      </rPr>
      <t xml:space="preserve">?</t>
    </r>
  </si>
  <si>
    <t xml:space="preserve">Q208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</si>
  <si>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공공 와이파이 이름</t>
    </r>
    <r>
      <rPr>
        <sz val="10"/>
        <rFont val="맑은 고딕"/>
        <family val="0"/>
        <charset val="1"/>
      </rPr>
      <t xml:space="preserve">(SSID)</t>
    </r>
    <r>
      <rPr>
        <sz val="10"/>
        <rFont val="Noto Sans CJK SC"/>
        <family val="2"/>
      </rPr>
      <t xml:space="preserve">이 뭔가요</t>
    </r>
    <r>
      <rPr>
        <sz val="10"/>
        <rFont val="맑은 고딕"/>
        <family val="0"/>
        <charset val="1"/>
      </rPr>
      <t xml:space="preserve">?</t>
    </r>
  </si>
  <si>
    <t xml:space="preserve">Q209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</si>
  <si>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전입신고 하면 자동으로 처리되는 것들이 뭔가요</t>
    </r>
    <r>
      <rPr>
        <sz val="10"/>
        <rFont val="맑은 고딕"/>
        <family val="0"/>
        <charset val="1"/>
      </rPr>
      <t xml:space="preserve">?</t>
    </r>
  </si>
  <si>
    <t xml:space="preserve">Q210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</si>
  <si>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전입신고 후 확정일자는 어디서 받나요</t>
    </r>
    <r>
      <rPr>
        <sz val="10"/>
        <rFont val="맑은 고딕"/>
        <family val="0"/>
        <charset val="1"/>
      </rPr>
      <t xml:space="preserve">?</t>
    </r>
  </si>
  <si>
    <t xml:space="preserve">Q211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</si>
  <si>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등본 무료 발급 대상이 누구인가요</t>
    </r>
    <r>
      <rPr>
        <sz val="10"/>
        <rFont val="맑은 고딕"/>
        <family val="0"/>
        <charset val="1"/>
      </rPr>
      <t xml:space="preserve">?</t>
    </r>
  </si>
  <si>
    <t xml:space="preserve">Q212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</si>
  <si>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{</t>
    </r>
    <r>
      <rPr>
        <sz val="10"/>
        <rFont val="Noto Sans CJK SC"/>
        <family val="2"/>
      </rPr>
      <t xml:space="preserve">동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주민센터 주소가 어디인가요</t>
    </r>
    <r>
      <rPr>
        <sz val="10"/>
        <rFont val="맑은 고딕"/>
        <family val="0"/>
        <charset val="1"/>
      </rPr>
      <t xml:space="preserve">?</t>
    </r>
  </si>
  <si>
    <t xml:space="preserve">Q213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</si>
  <si>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인감 분실 신고는 어떻게 하나요</t>
    </r>
    <r>
      <rPr>
        <sz val="10"/>
        <rFont val="맑은 고딕"/>
        <family val="0"/>
        <charset val="1"/>
      </rPr>
      <t xml:space="preserve">?</t>
    </r>
  </si>
  <si>
    <t xml:space="preserve">Q214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</si>
  <si>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긴급 여권 당일 발급 되나요</t>
    </r>
    <r>
      <rPr>
        <sz val="10"/>
        <rFont val="맑은 고딕"/>
        <family val="0"/>
        <charset val="1"/>
      </rPr>
      <t xml:space="preserve">?</t>
    </r>
  </si>
  <si>
    <t xml:space="preserve">Q215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</si>
  <si>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여권 사진 규격 확인은 어디서 하나요</t>
    </r>
    <r>
      <rPr>
        <sz val="10"/>
        <rFont val="맑은 고딕"/>
        <family val="0"/>
        <charset val="1"/>
      </rPr>
      <t xml:space="preserve">?</t>
    </r>
  </si>
  <si>
    <t xml:space="preserve">Q216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</si>
  <si>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{</t>
    </r>
    <r>
      <rPr>
        <sz val="10"/>
        <rFont val="Noto Sans CJK SC"/>
        <family val="2"/>
      </rPr>
      <t xml:space="preserve">동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재활용품 배출 요일이 언제인가요</t>
    </r>
    <r>
      <rPr>
        <sz val="10"/>
        <rFont val="맑은 고딕"/>
        <family val="0"/>
        <charset val="1"/>
      </rPr>
      <t xml:space="preserve">?</t>
    </r>
  </si>
  <si>
    <t xml:space="preserve">Q217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</si>
  <si>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명절 연휴 쓰레기 수거 안 하는 날이 언제인가요</t>
    </r>
    <r>
      <rPr>
        <sz val="10"/>
        <rFont val="맑은 고딕"/>
        <family val="0"/>
        <charset val="1"/>
      </rPr>
      <t xml:space="preserve">?</t>
    </r>
  </si>
  <si>
    <t xml:space="preserve">Q218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</si>
  <si>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{</t>
    </r>
    <r>
      <rPr>
        <sz val="10"/>
        <rFont val="Noto Sans CJK SC"/>
        <family val="2"/>
      </rPr>
      <t xml:space="preserve">대형품목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무상 수거 신청 방법이 뭔가요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</si>
  <si>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대형품목</t>
    </r>
    <r>
      <rPr>
        <sz val="10"/>
        <rFont val="맑은 고딕"/>
        <family val="0"/>
        <charset val="1"/>
      </rPr>
      <t xml:space="preserve">}: </t>
    </r>
    <r>
      <rPr>
        <sz val="10"/>
        <rFont val="Noto Sans CJK SC"/>
        <family val="2"/>
      </rPr>
      <t xml:space="preserve">냉장고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세탁기</t>
    </r>
    <r>
      <rPr>
        <sz val="10"/>
        <rFont val="맑은 고딕"/>
        <family val="0"/>
        <charset val="1"/>
      </rPr>
      <t xml:space="preserve">·TV·</t>
    </r>
    <r>
      <rPr>
        <sz val="10"/>
        <rFont val="Noto Sans CJK SC"/>
        <family val="2"/>
      </rPr>
      <t xml:space="preserve">에어컨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폐가전 무상 수거 대상</t>
    </r>
    <r>
      <rPr>
        <sz val="10"/>
        <rFont val="맑은 고딕"/>
        <family val="0"/>
        <charset val="1"/>
      </rPr>
      <t xml:space="preserve">)</t>
    </r>
  </si>
  <si>
    <t xml:space="preserve">Q219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</si>
  <si>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대형폐기물 담당 전화번호가 뭔가요</t>
    </r>
    <r>
      <rPr>
        <sz val="10"/>
        <rFont val="맑은 고딕"/>
        <family val="0"/>
        <charset val="1"/>
      </rPr>
      <t xml:space="preserve">?</t>
    </r>
  </si>
  <si>
    <t xml:space="preserve">Q220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</si>
  <si>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음식물쓰레기 </t>
    </r>
    <r>
      <rPr>
        <sz val="10"/>
        <rFont val="맑은 고딕"/>
        <family val="0"/>
        <charset val="1"/>
      </rPr>
      <t xml:space="preserve">RFID </t>
    </r>
    <r>
      <rPr>
        <sz val="10"/>
        <rFont val="Noto Sans CJK SC"/>
        <family val="2"/>
      </rPr>
      <t xml:space="preserve">카드는 어디서 발급받나요</t>
    </r>
    <r>
      <rPr>
        <sz val="10"/>
        <rFont val="맑은 고딕"/>
        <family val="0"/>
        <charset val="1"/>
      </rPr>
      <t xml:space="preserve">?</t>
    </r>
  </si>
  <si>
    <t xml:space="preserve">Q221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</si>
  <si>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음식물쓰레기 수거 업체 연락처가 뭔가요</t>
    </r>
    <r>
      <rPr>
        <sz val="10"/>
        <rFont val="맑은 고딕"/>
        <family val="0"/>
        <charset val="1"/>
      </rPr>
      <t xml:space="preserve">?</t>
    </r>
  </si>
  <si>
    <t xml:space="preserve">Q222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</si>
  <si>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종량제 봉투 환불이나 교환 되나요</t>
    </r>
    <r>
      <rPr>
        <sz val="10"/>
        <rFont val="맑은 고딕"/>
        <family val="0"/>
        <charset val="1"/>
      </rPr>
      <t xml:space="preserve">?</t>
    </r>
  </si>
  <si>
    <t xml:space="preserve">Q223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</si>
  <si>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공공용 종량제 봉투는 누가 받을 수 있나요</t>
    </r>
    <r>
      <rPr>
        <sz val="10"/>
        <rFont val="맑은 고딕"/>
        <family val="0"/>
        <charset val="1"/>
      </rPr>
      <t xml:space="preserve">?</t>
    </r>
  </si>
  <si>
    <t xml:space="preserve">Q224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</si>
  <si>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{</t>
    </r>
    <r>
      <rPr>
        <sz val="10"/>
        <rFont val="Noto Sans CJK SC"/>
        <family val="2"/>
      </rPr>
      <t xml:space="preserve">동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주정차 단속 카메라 구간이 어디인가요</t>
    </r>
    <r>
      <rPr>
        <sz val="10"/>
        <rFont val="맑은 고딕"/>
        <family val="0"/>
        <charset val="1"/>
      </rPr>
      <t xml:space="preserve">?</t>
    </r>
  </si>
  <si>
    <t xml:space="preserve">Q225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</si>
  <si>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주정차 과태료 사전 납부 감경이 얼마인가요</t>
    </r>
    <r>
      <rPr>
        <sz val="10"/>
        <rFont val="맑은 고딕"/>
        <family val="0"/>
        <charset val="1"/>
      </rPr>
      <t xml:space="preserve">?</t>
    </r>
  </si>
  <si>
    <t xml:space="preserve">Q226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</si>
  <si>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{</t>
    </r>
    <r>
      <rPr>
        <sz val="10"/>
        <rFont val="Noto Sans CJK SC"/>
        <family val="2"/>
      </rPr>
      <t xml:space="preserve">동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거주자우선주차 신청은 어디서 하나요</t>
    </r>
    <r>
      <rPr>
        <sz val="10"/>
        <rFont val="맑은 고딕"/>
        <family val="0"/>
        <charset val="1"/>
      </rPr>
      <t xml:space="preserve">?</t>
    </r>
  </si>
  <si>
    <t xml:space="preserve">Q227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</si>
  <si>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거주자우선주차 담당 부서 전화번호가 뭔가요</t>
    </r>
    <r>
      <rPr>
        <sz val="10"/>
        <rFont val="맑은 고딕"/>
        <family val="0"/>
        <charset val="1"/>
      </rPr>
      <t xml:space="preserve">?</t>
    </r>
  </si>
  <si>
    <t xml:space="preserve">Q228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</si>
  <si>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{</t>
    </r>
    <r>
      <rPr>
        <sz val="10"/>
        <rFont val="Noto Sans CJK SC"/>
        <family val="2"/>
      </rPr>
      <t xml:space="preserve">공영주차장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위치가 어디인가요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</si>
  <si>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공영주차장</t>
    </r>
    <r>
      <rPr>
        <sz val="10"/>
        <rFont val="맑은 고딕"/>
        <family val="0"/>
        <charset val="1"/>
      </rPr>
      <t xml:space="preserve">}: </t>
    </r>
    <r>
      <rPr>
        <sz val="10"/>
        <rFont val="Noto Sans CJK SC"/>
        <family val="2"/>
      </rPr>
      <t xml:space="preserve">공영주차장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곳 표집</t>
    </r>
  </si>
  <si>
    <t xml:space="preserve">L4</t>
  </si>
  <si>
    <t xml:space="preserve">Q229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</si>
  <si>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{</t>
    </r>
    <r>
      <rPr>
        <sz val="10"/>
        <rFont val="Noto Sans CJK SC"/>
        <family val="2"/>
      </rPr>
      <t xml:space="preserve">공영주차장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요금이 얼마인가요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</si>
  <si>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공영주차장</t>
    </r>
    <r>
      <rPr>
        <sz val="10"/>
        <rFont val="맑은 고딕"/>
        <family val="0"/>
        <charset val="1"/>
      </rPr>
      <t xml:space="preserve">}: </t>
    </r>
    <r>
      <rPr>
        <sz val="10"/>
        <rFont val="Noto Sans CJK SC"/>
        <family val="2"/>
      </rPr>
      <t xml:space="preserve">위와 동일</t>
    </r>
  </si>
  <si>
    <t xml:space="preserve">Q230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</si>
  <si>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견인 보관소 운영 시간이 언제인가요</t>
    </r>
    <r>
      <rPr>
        <sz val="10"/>
        <rFont val="맑은 고딕"/>
        <family val="0"/>
        <charset val="1"/>
      </rPr>
      <t xml:space="preserve">?</t>
    </r>
  </si>
  <si>
    <t xml:space="preserve">Q231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</si>
  <si>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견인 이의신청은 어떻게 하나요</t>
    </r>
    <r>
      <rPr>
        <sz val="10"/>
        <rFont val="맑은 고딕"/>
        <family val="0"/>
        <charset val="1"/>
      </rPr>
      <t xml:space="preserve">?</t>
    </r>
  </si>
  <si>
    <t xml:space="preserve">Q232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</si>
  <si>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{</t>
    </r>
    <r>
      <rPr>
        <sz val="10"/>
        <rFont val="Noto Sans CJK SC"/>
        <family val="2"/>
      </rPr>
      <t xml:space="preserve">보건지소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전화번호가 뭔가요</t>
    </r>
    <r>
      <rPr>
        <sz val="10"/>
        <rFont val="맑은 고딕"/>
        <family val="0"/>
        <charset val="1"/>
      </rPr>
      <t xml:space="preserve">?</t>
    </r>
  </si>
  <si>
    <t xml:space="preserve">Q233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</si>
  <si>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{</t>
    </r>
    <r>
      <rPr>
        <sz val="10"/>
        <rFont val="Noto Sans CJK SC"/>
        <family val="2"/>
      </rPr>
      <t xml:space="preserve">보건지소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진료 시간이 언제인가요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</si>
  <si>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보건지소</t>
    </r>
    <r>
      <rPr>
        <sz val="10"/>
        <rFont val="맑은 고딕"/>
        <family val="0"/>
        <charset val="1"/>
      </rPr>
      <t xml:space="preserve">}: </t>
    </r>
    <r>
      <rPr>
        <sz val="10"/>
        <rFont val="Noto Sans CJK SC"/>
        <family val="2"/>
      </rPr>
      <t xml:space="preserve">위와 동일</t>
    </r>
  </si>
  <si>
    <t xml:space="preserve">Q234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</si>
  <si>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{</t>
    </r>
    <r>
      <rPr>
        <sz val="10"/>
        <rFont val="Noto Sans CJK SC"/>
        <family val="2"/>
      </rPr>
      <t xml:space="preserve">백신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무료 대상이 아니면 접종 비용이 얼마인가요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</si>
  <si>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백신</t>
    </r>
    <r>
      <rPr>
        <sz val="10"/>
        <rFont val="맑은 고딕"/>
        <family val="0"/>
        <charset val="1"/>
      </rPr>
      <t xml:space="preserve">}: 6</t>
    </r>
    <r>
      <rPr>
        <sz val="10"/>
        <rFont val="Noto Sans CJK SC"/>
        <family val="2"/>
      </rPr>
      <t xml:space="preserve">종</t>
    </r>
  </si>
  <si>
    <t xml:space="preserve">Q235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</si>
  <si>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예방접종 증명서는 어디서 발급받나요</t>
    </r>
    <r>
      <rPr>
        <sz val="10"/>
        <rFont val="맑은 고딕"/>
        <family val="0"/>
        <charset val="1"/>
      </rPr>
      <t xml:space="preserve">?</t>
    </r>
  </si>
  <si>
    <t xml:space="preserve">Q236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</si>
  <si>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치매안심센터 운영 시간이 언제인가요</t>
    </r>
    <r>
      <rPr>
        <sz val="10"/>
        <rFont val="맑은 고딕"/>
        <family val="0"/>
        <charset val="1"/>
      </rPr>
      <t xml:space="preserve">?</t>
    </r>
  </si>
  <si>
    <t xml:space="preserve">Q237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</si>
  <si>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치매 환자 배회 인식표는 어떻게 신청하나요</t>
    </r>
    <r>
      <rPr>
        <sz val="10"/>
        <rFont val="맑은 고딕"/>
        <family val="0"/>
        <charset val="1"/>
      </rPr>
      <t xml:space="preserve">?</t>
    </r>
  </si>
  <si>
    <t xml:space="preserve">Q238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</si>
  <si>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응급실 있는 병원이 어디인가요</t>
    </r>
    <r>
      <rPr>
        <sz val="10"/>
        <rFont val="맑은 고딕"/>
        <family val="0"/>
        <charset val="1"/>
      </rPr>
      <t xml:space="preserve">?</t>
    </r>
  </si>
  <si>
    <t xml:space="preserve">Q239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</si>
  <si>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야간 소아 진료 가능한 곳이 어디인가요</t>
    </r>
    <r>
      <rPr>
        <sz val="10"/>
        <rFont val="맑은 고딕"/>
        <family val="0"/>
        <charset val="1"/>
      </rPr>
      <t xml:space="preserve">?</t>
    </r>
  </si>
  <si>
    <t xml:space="preserve">Q240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</si>
  <si>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{</t>
    </r>
    <r>
      <rPr>
        <sz val="10"/>
        <rFont val="Noto Sans CJK SC"/>
        <family val="2"/>
      </rPr>
      <t xml:space="preserve">수당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지급일이 언제인가요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</si>
  <si>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수당</t>
    </r>
    <r>
      <rPr>
        <sz val="10"/>
        <rFont val="맑은 고딕"/>
        <family val="0"/>
        <charset val="1"/>
      </rPr>
      <t xml:space="preserve">}: 5</t>
    </r>
    <r>
      <rPr>
        <sz val="10"/>
        <rFont val="Noto Sans CJK SC"/>
        <family val="2"/>
      </rPr>
      <t xml:space="preserve">종</t>
    </r>
  </si>
  <si>
    <t xml:space="preserve">Q241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</si>
  <si>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{</t>
    </r>
    <r>
      <rPr>
        <sz val="10"/>
        <rFont val="Noto Sans CJK SC"/>
        <family val="2"/>
      </rPr>
      <t xml:space="preserve">수당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지급 금액이 얼마인가요</t>
    </r>
    <r>
      <rPr>
        <sz val="10"/>
        <rFont val="맑은 고딕"/>
        <family val="0"/>
        <charset val="1"/>
      </rPr>
      <t xml:space="preserve">?</t>
    </r>
  </si>
  <si>
    <t xml:space="preserve">Q242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</si>
  <si>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긴급복지 생계지원 금액이 얼마인가요</t>
    </r>
    <r>
      <rPr>
        <sz val="10"/>
        <rFont val="맑은 고딕"/>
        <family val="0"/>
        <charset val="1"/>
      </rPr>
      <t xml:space="preserve">?</t>
    </r>
  </si>
  <si>
    <t xml:space="preserve">Q243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</si>
  <si>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무료 급식 지원은 어디서 신청하나요</t>
    </r>
    <r>
      <rPr>
        <sz val="10"/>
        <rFont val="맑은 고딕"/>
        <family val="0"/>
        <charset val="1"/>
      </rPr>
      <t xml:space="preserve">?</t>
    </r>
  </si>
  <si>
    <t xml:space="preserve">Q244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</si>
  <si>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노인 일자리 급여가 얼마인가요</t>
    </r>
    <r>
      <rPr>
        <sz val="10"/>
        <rFont val="맑은 고딕"/>
        <family val="0"/>
        <charset val="1"/>
      </rPr>
      <t xml:space="preserve">?</t>
    </r>
  </si>
  <si>
    <t xml:space="preserve">Q245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</si>
  <si>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시니어클럽은 어디에 있나요</t>
    </r>
    <r>
      <rPr>
        <sz val="10"/>
        <rFont val="맑은 고딕"/>
        <family val="0"/>
        <charset val="1"/>
      </rPr>
      <t xml:space="preserve">?</t>
    </r>
  </si>
  <si>
    <t xml:space="preserve">Q246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</si>
  <si>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장애인 복지관은 어디에 있나요</t>
    </r>
    <r>
      <rPr>
        <sz val="10"/>
        <rFont val="맑은 고딕"/>
        <family val="0"/>
        <charset val="1"/>
      </rPr>
      <t xml:space="preserve">?</t>
    </r>
  </si>
  <si>
    <t xml:space="preserve">Q247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</si>
  <si>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장애인 주차표지 발급은 어디서 하나요</t>
    </r>
    <r>
      <rPr>
        <sz val="10"/>
        <rFont val="맑은 고딕"/>
        <family val="0"/>
        <charset val="1"/>
      </rPr>
      <t xml:space="preserve">?</t>
    </r>
  </si>
  <si>
    <t xml:space="preserve">Q248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</si>
  <si>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{</t>
    </r>
    <r>
      <rPr>
        <sz val="10"/>
        <rFont val="Noto Sans CJK SC"/>
        <family val="2"/>
      </rPr>
      <t xml:space="preserve">세목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고지서 재발급은 어떻게 하나요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</si>
  <si>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세목</t>
    </r>
    <r>
      <rPr>
        <sz val="10"/>
        <rFont val="맑은 고딕"/>
        <family val="0"/>
        <charset val="1"/>
      </rPr>
      <t xml:space="preserve">}: 5</t>
    </r>
    <r>
      <rPr>
        <sz val="10"/>
        <rFont val="Noto Sans CJK SC"/>
        <family val="2"/>
      </rPr>
      <t xml:space="preserve">종</t>
    </r>
  </si>
  <si>
    <t xml:space="preserve">Q249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</si>
  <si>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지방세 납부 확인서는 어디서 발급받나요</t>
    </r>
    <r>
      <rPr>
        <sz val="10"/>
        <rFont val="맑은 고딕"/>
        <family val="0"/>
        <charset val="1"/>
      </rPr>
      <t xml:space="preserve">?</t>
    </r>
  </si>
  <si>
    <t xml:space="preserve">Q250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</si>
  <si>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{</t>
    </r>
    <r>
      <rPr>
        <sz val="10"/>
        <rFont val="Noto Sans CJK SC"/>
        <family val="2"/>
      </rPr>
      <t xml:space="preserve">용도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하수도 요금은 얼마인가요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</si>
  <si>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용도</t>
    </r>
    <r>
      <rPr>
        <sz val="10"/>
        <rFont val="맑은 고딕"/>
        <family val="0"/>
        <charset val="1"/>
      </rPr>
      <t xml:space="preserve">}: 3</t>
    </r>
    <r>
      <rPr>
        <sz val="10"/>
        <rFont val="Noto Sans CJK SC"/>
        <family val="2"/>
      </rPr>
      <t xml:space="preserve">종</t>
    </r>
  </si>
  <si>
    <t xml:space="preserve">Q251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</si>
  <si>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수도 계량기 동파 시 비용은 누가 부담하나요</t>
    </r>
    <r>
      <rPr>
        <sz val="10"/>
        <rFont val="맑은 고딕"/>
        <family val="0"/>
        <charset val="1"/>
      </rPr>
      <t xml:space="preserve">?</t>
    </r>
  </si>
  <si>
    <t xml:space="preserve">Q252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</si>
  <si>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과태료 납부 전화번호</t>
    </r>
    <r>
      <rPr>
        <sz val="10"/>
        <rFont val="맑은 고딕"/>
        <family val="0"/>
        <charset val="1"/>
      </rPr>
      <t xml:space="preserve">(ARS)</t>
    </r>
    <r>
      <rPr>
        <sz val="10"/>
        <rFont val="Noto Sans CJK SC"/>
        <family val="2"/>
      </rPr>
      <t xml:space="preserve">가 뭔가요</t>
    </r>
    <r>
      <rPr>
        <sz val="10"/>
        <rFont val="맑은 고딕"/>
        <family val="0"/>
        <charset val="1"/>
      </rPr>
      <t xml:space="preserve">?</t>
    </r>
  </si>
  <si>
    <t xml:space="preserve">Q253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</si>
  <si>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과태료 체납 시 가산금이 얼마인가요</t>
    </r>
    <r>
      <rPr>
        <sz val="10"/>
        <rFont val="맑은 고딕"/>
        <family val="0"/>
        <charset val="1"/>
      </rPr>
      <t xml:space="preserve">?</t>
    </r>
  </si>
  <si>
    <t xml:space="preserve">Q254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</si>
  <si>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지역화폐 환급 행사 기간이 언제인가요</t>
    </r>
    <r>
      <rPr>
        <sz val="10"/>
        <rFont val="맑은 고딕"/>
        <family val="0"/>
        <charset val="1"/>
      </rPr>
      <t xml:space="preserve">?</t>
    </r>
  </si>
  <si>
    <t xml:space="preserve">Q255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</si>
  <si>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지역화폐 카드 분실 시 어떻게 하나요</t>
    </r>
    <r>
      <rPr>
        <sz val="10"/>
        <rFont val="맑은 고딕"/>
        <family val="0"/>
        <charset val="1"/>
      </rPr>
      <t xml:space="preserve">?</t>
    </r>
  </si>
  <si>
    <t xml:space="preserve">Q256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</si>
  <si>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{</t>
    </r>
    <r>
      <rPr>
        <sz val="10"/>
        <rFont val="Noto Sans CJK SC"/>
        <family val="2"/>
      </rPr>
      <t xml:space="preserve">동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무더위쉼터가 어디인가요</t>
    </r>
    <r>
      <rPr>
        <sz val="10"/>
        <rFont val="맑은 고딕"/>
        <family val="0"/>
        <charset val="1"/>
      </rPr>
      <t xml:space="preserve">?</t>
    </r>
  </si>
  <si>
    <t xml:space="preserve">Q257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</si>
  <si>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재난문자 수신 설정은 어떻게 하나요</t>
    </r>
    <r>
      <rPr>
        <sz val="10"/>
        <rFont val="맑은 고딕"/>
        <family val="0"/>
        <charset val="1"/>
      </rPr>
      <t xml:space="preserve">?</t>
    </r>
  </si>
  <si>
    <t xml:space="preserve">Q258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</si>
  <si>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민방위 교육 담당 부서 전화번호가 뭔가요</t>
    </r>
    <r>
      <rPr>
        <sz val="10"/>
        <rFont val="맑은 고딕"/>
        <family val="0"/>
        <charset val="1"/>
      </rPr>
      <t xml:space="preserve">?</t>
    </r>
  </si>
  <si>
    <t xml:space="preserve">Q259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</si>
  <si>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민방위 대원 편입 연령이 어떻게 되나요</t>
    </r>
    <r>
      <rPr>
        <sz val="10"/>
        <rFont val="맑은 고딕"/>
        <family val="0"/>
        <charset val="1"/>
      </rPr>
      <t xml:space="preserve">?</t>
    </r>
  </si>
  <si>
    <t xml:space="preserve">Q260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</si>
  <si>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시민안전보험 청구 기한이 언제까지인가요</t>
    </r>
    <r>
      <rPr>
        <sz val="10"/>
        <rFont val="맑은 고딕"/>
        <family val="0"/>
        <charset val="1"/>
      </rPr>
      <t xml:space="preserve">?</t>
    </r>
  </si>
  <si>
    <t xml:space="preserve">Q261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</si>
  <si>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시민안전보험 보험사와 연락처가 뭔가요</t>
    </r>
    <r>
      <rPr>
        <sz val="10"/>
        <rFont val="맑은 고딕"/>
        <family val="0"/>
        <charset val="1"/>
      </rPr>
      <t xml:space="preserve">?</t>
    </r>
  </si>
  <si>
    <t xml:space="preserve">Q262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</si>
  <si>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{</t>
    </r>
    <r>
      <rPr>
        <sz val="10"/>
        <rFont val="Noto Sans CJK SC"/>
        <family val="2"/>
      </rPr>
      <t xml:space="preserve">신고종류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처리 기한이 며칠인가요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</si>
  <si>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신고종류</t>
    </r>
    <r>
      <rPr>
        <sz val="10"/>
        <rFont val="맑은 고딕"/>
        <family val="0"/>
        <charset val="1"/>
      </rPr>
      <t xml:space="preserve">}: 5</t>
    </r>
    <r>
      <rPr>
        <sz val="10"/>
        <rFont val="Noto Sans CJK SC"/>
        <family val="2"/>
      </rPr>
      <t xml:space="preserve">종</t>
    </r>
  </si>
  <si>
    <t xml:space="preserve">Q263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</si>
  <si>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야간 민원 당직 전화번호가 뭔가요</t>
    </r>
    <r>
      <rPr>
        <sz val="10"/>
        <rFont val="맑은 고딕"/>
        <family val="0"/>
        <charset val="1"/>
      </rPr>
      <t xml:space="preserve">?</t>
    </r>
  </si>
  <si>
    <t xml:space="preserve">Q264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</si>
  <si>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{</t>
    </r>
    <r>
      <rPr>
        <sz val="10"/>
        <rFont val="Noto Sans CJK SC"/>
        <family val="2"/>
      </rPr>
      <t xml:space="preserve">동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국공립 어린이집이 어디인가요</t>
    </r>
    <r>
      <rPr>
        <sz val="10"/>
        <rFont val="맑은 고딕"/>
        <family val="0"/>
        <charset val="1"/>
      </rPr>
      <t xml:space="preserve">?</t>
    </r>
  </si>
  <si>
    <t xml:space="preserve">Q265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</si>
  <si>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어린이집 보육료 지원 신청은 어디서 하나요</t>
    </r>
    <r>
      <rPr>
        <sz val="10"/>
        <rFont val="맑은 고딕"/>
        <family val="0"/>
        <charset val="1"/>
      </rPr>
      <t xml:space="preserve">?</t>
    </r>
  </si>
  <si>
    <t xml:space="preserve">Q266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</si>
  <si>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공동육아나눔터는 어디에 있나요</t>
    </r>
    <r>
      <rPr>
        <sz val="10"/>
        <rFont val="맑은 고딕"/>
        <family val="0"/>
        <charset val="1"/>
      </rPr>
      <t xml:space="preserve">?</t>
    </r>
  </si>
  <si>
    <t xml:space="preserve">Q267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</si>
  <si>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육아종합지원센터 전화번호가 뭔가요</t>
    </r>
    <r>
      <rPr>
        <sz val="10"/>
        <rFont val="맑은 고딕"/>
        <family val="0"/>
        <charset val="1"/>
      </rPr>
      <t xml:space="preserve">?</t>
    </r>
  </si>
  <si>
    <t xml:space="preserve">Q268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</si>
  <si>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평생학습관 위치가 어디인가요</t>
    </r>
    <r>
      <rPr>
        <sz val="10"/>
        <rFont val="맑은 고딕"/>
        <family val="0"/>
        <charset val="1"/>
      </rPr>
      <t xml:space="preserve">?</t>
    </r>
  </si>
  <si>
    <t xml:space="preserve">Q269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</si>
  <si>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청소년 문화의집 운영 시간이 언제인가요</t>
    </r>
    <r>
      <rPr>
        <sz val="10"/>
        <rFont val="맑은 고딕"/>
        <family val="0"/>
        <charset val="1"/>
      </rPr>
      <t xml:space="preserve">?</t>
    </r>
  </si>
  <si>
    <t xml:space="preserve">Q270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</si>
  <si>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장학금 지급 금액이 얼마인가요</t>
    </r>
    <r>
      <rPr>
        <sz val="10"/>
        <rFont val="맑은 고딕"/>
        <family val="0"/>
        <charset val="1"/>
      </rPr>
      <t xml:space="preserve">?</t>
    </r>
  </si>
  <si>
    <t xml:space="preserve">Q271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</si>
  <si>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교육 지원 담당 부서 전화번호가 뭔가요</t>
    </r>
    <r>
      <rPr>
        <sz val="10"/>
        <rFont val="맑은 고딕"/>
        <family val="0"/>
        <charset val="1"/>
      </rPr>
      <t xml:space="preserve">?</t>
    </r>
  </si>
  <si>
    <t xml:space="preserve">Q272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</si>
  <si>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{</t>
    </r>
    <r>
      <rPr>
        <sz val="10"/>
        <rFont val="Noto Sans CJK SC"/>
        <family val="2"/>
      </rPr>
      <t xml:space="preserve">도서관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운영 시간이 언제인가요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</si>
  <si>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도서관</t>
    </r>
    <r>
      <rPr>
        <sz val="10"/>
        <rFont val="맑은 고딕"/>
        <family val="0"/>
        <charset val="1"/>
      </rPr>
      <t xml:space="preserve">}: 3</t>
    </r>
    <r>
      <rPr>
        <sz val="10"/>
        <rFont val="Noto Sans CJK SC"/>
        <family val="2"/>
      </rPr>
      <t xml:space="preserve">곳 표집</t>
    </r>
  </si>
  <si>
    <t xml:space="preserve">Q273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</si>
  <si>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{</t>
    </r>
    <r>
      <rPr>
        <sz val="10"/>
        <rFont val="Noto Sans CJK SC"/>
        <family val="2"/>
      </rPr>
      <t xml:space="preserve">도서관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전화번호가 뭔가요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</si>
  <si>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도서관</t>
    </r>
    <r>
      <rPr>
        <sz val="10"/>
        <rFont val="맑은 고딕"/>
        <family val="0"/>
        <charset val="1"/>
      </rPr>
      <t xml:space="preserve">}: </t>
    </r>
    <r>
      <rPr>
        <sz val="10"/>
        <rFont val="Noto Sans CJK SC"/>
        <family val="2"/>
      </rPr>
      <t xml:space="preserve">위와 동일</t>
    </r>
  </si>
  <si>
    <t xml:space="preserve">Q274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</si>
  <si>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문화회관 주차 요금이 얼마인가요</t>
    </r>
    <r>
      <rPr>
        <sz val="10"/>
        <rFont val="맑은 고딕"/>
        <family val="0"/>
        <charset val="1"/>
      </rPr>
      <t xml:space="preserve">?</t>
    </r>
  </si>
  <si>
    <t xml:space="preserve">Q275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</si>
  <si>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문화회관 공연 예매는 어디서 하나요</t>
    </r>
    <r>
      <rPr>
        <sz val="10"/>
        <rFont val="맑은 고딕"/>
        <family val="0"/>
        <charset val="1"/>
      </rPr>
      <t xml:space="preserve">?</t>
    </r>
  </si>
  <si>
    <t xml:space="preserve">Q276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</si>
  <si>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{</t>
    </r>
    <r>
      <rPr>
        <sz val="10"/>
        <rFont val="Noto Sans CJK SC"/>
        <family val="2"/>
      </rPr>
      <t xml:space="preserve">축제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입장료가 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</si>
  <si>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축제</t>
    </r>
    <r>
      <rPr>
        <sz val="10"/>
        <rFont val="맑은 고딕"/>
        <family val="0"/>
        <charset val="1"/>
      </rPr>
      <t xml:space="preserve">}: 2</t>
    </r>
    <r>
      <rPr>
        <sz val="10"/>
        <rFont val="Noto Sans CJK SC"/>
        <family val="2"/>
      </rPr>
      <t xml:space="preserve">개</t>
    </r>
  </si>
  <si>
    <t xml:space="preserve">Q277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</si>
  <si>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{</t>
    </r>
    <r>
      <rPr>
        <sz val="10"/>
        <rFont val="Noto Sans CJK SC"/>
        <family val="2"/>
      </rPr>
      <t xml:space="preserve">축제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주최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문의처가 어디인가요</t>
    </r>
    <r>
      <rPr>
        <sz val="10"/>
        <rFont val="맑은 고딕"/>
        <family val="0"/>
        <charset val="1"/>
      </rPr>
      <t xml:space="preserve">?</t>
    </r>
  </si>
  <si>
    <t xml:space="preserve">Q278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</si>
  <si>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{</t>
    </r>
    <r>
      <rPr>
        <sz val="10"/>
        <rFont val="Noto Sans CJK SC"/>
        <family val="2"/>
      </rPr>
      <t xml:space="preserve">명소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운영 시간이 언제인가요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</si>
  <si>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명소</t>
    </r>
    <r>
      <rPr>
        <sz val="10"/>
        <rFont val="맑은 고딕"/>
        <family val="0"/>
        <charset val="1"/>
      </rPr>
      <t xml:space="preserve">}: 3</t>
    </r>
    <r>
      <rPr>
        <sz val="10"/>
        <rFont val="Noto Sans CJK SC"/>
        <family val="2"/>
      </rPr>
      <t xml:space="preserve">곳</t>
    </r>
  </si>
  <si>
    <t xml:space="preserve">Q279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</si>
  <si>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{</t>
    </r>
    <r>
      <rPr>
        <sz val="10"/>
        <rFont val="Noto Sans CJK SC"/>
        <family val="2"/>
      </rPr>
      <t xml:space="preserve">명소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가는 대중교통이 뭔가요</t>
    </r>
    <r>
      <rPr>
        <sz val="10"/>
        <rFont val="맑은 고딕"/>
        <family val="0"/>
        <charset val="1"/>
      </rPr>
      <t xml:space="preserve">?</t>
    </r>
  </si>
  <si>
    <t xml:space="preserve">Q280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</si>
  <si>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건축물대장 발급은 어디서 하나요</t>
    </r>
    <r>
      <rPr>
        <sz val="10"/>
        <rFont val="맑은 고딕"/>
        <family val="0"/>
        <charset val="1"/>
      </rPr>
      <t xml:space="preserve">?</t>
    </r>
  </si>
  <si>
    <t xml:space="preserve">Q281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</si>
  <si>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건축 허가 수수료가 얼마인가요</t>
    </r>
    <r>
      <rPr>
        <sz val="10"/>
        <rFont val="맑은 고딕"/>
        <family val="0"/>
        <charset val="1"/>
      </rPr>
      <t xml:space="preserve">?</t>
    </r>
  </si>
  <si>
    <t xml:space="preserve">Q282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</si>
  <si>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공동주택 지원 사업 지원 금액이 얼마인가요</t>
    </r>
    <r>
      <rPr>
        <sz val="10"/>
        <rFont val="맑은 고딕"/>
        <family val="0"/>
        <charset val="1"/>
      </rPr>
      <t xml:space="preserve">?</t>
    </r>
  </si>
  <si>
    <t xml:space="preserve">Q283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</si>
  <si>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공동주택 지원 신청은 어디서 하나요</t>
    </r>
    <r>
      <rPr>
        <sz val="10"/>
        <rFont val="맑은 고딕"/>
        <family val="0"/>
        <charset val="1"/>
      </rPr>
      <t xml:space="preserve">?</t>
    </r>
  </si>
  <si>
    <t xml:space="preserve">Q284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</si>
  <si>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전세 피해 긴급 주거 지원이 있나요</t>
    </r>
    <r>
      <rPr>
        <sz val="10"/>
        <rFont val="맑은 고딕"/>
        <family val="0"/>
        <charset val="1"/>
      </rPr>
      <t xml:space="preserve">?</t>
    </r>
  </si>
  <si>
    <t xml:space="preserve">Q285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</si>
  <si>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주거복지센터 전화번호가 뭔가요</t>
    </r>
    <r>
      <rPr>
        <sz val="10"/>
        <rFont val="맑은 고딕"/>
        <family val="0"/>
        <charset val="1"/>
      </rPr>
      <t xml:space="preserve">?</t>
    </r>
  </si>
  <si>
    <t xml:space="preserve">Q286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</si>
  <si>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청년 월세 지원 신청 기간이 언제인가요</t>
    </r>
    <r>
      <rPr>
        <sz val="10"/>
        <rFont val="맑은 고딕"/>
        <family val="0"/>
        <charset val="1"/>
      </rPr>
      <t xml:space="preserve">?</t>
    </r>
  </si>
  <si>
    <t xml:space="preserve">Q287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</si>
  <si>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주거급여 담당 부서 전화번호가 뭔가요</t>
    </r>
    <r>
      <rPr>
        <sz val="10"/>
        <rFont val="맑은 고딕"/>
        <family val="0"/>
        <charset val="1"/>
      </rPr>
      <t xml:space="preserve">?</t>
    </r>
  </si>
  <si>
    <t xml:space="preserve">Q288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</si>
  <si>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소상공인 지원 신청 기간이 언제인가요</t>
    </r>
    <r>
      <rPr>
        <sz val="10"/>
        <rFont val="맑은 고딕"/>
        <family val="0"/>
        <charset val="1"/>
      </rPr>
      <t xml:space="preserve">?</t>
    </r>
  </si>
  <si>
    <t xml:space="preserve">Q289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</si>
  <si>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소상공인 경영 상담은 어디서 받나요</t>
    </r>
    <r>
      <rPr>
        <sz val="10"/>
        <rFont val="맑은 고딕"/>
        <family val="0"/>
        <charset val="1"/>
      </rPr>
      <t xml:space="preserve">?</t>
    </r>
  </si>
  <si>
    <t xml:space="preserve">Q290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</si>
  <si>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일자리센터 주소가 어디인가요</t>
    </r>
    <r>
      <rPr>
        <sz val="10"/>
        <rFont val="맑은 고딕"/>
        <family val="0"/>
        <charset val="1"/>
      </rPr>
      <t xml:space="preserve">?</t>
    </r>
  </si>
  <si>
    <t xml:space="preserve">Q291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</si>
  <si>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지역 일자리 박람회가 언제 열리나요</t>
    </r>
    <r>
      <rPr>
        <sz val="10"/>
        <rFont val="맑은 고딕"/>
        <family val="0"/>
        <charset val="1"/>
      </rPr>
      <t xml:space="preserve">?</t>
    </r>
  </si>
  <si>
    <t xml:space="preserve">Q292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</si>
  <si>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{</t>
    </r>
    <r>
      <rPr>
        <sz val="10"/>
        <rFont val="Noto Sans CJK SC"/>
        <family val="2"/>
      </rPr>
      <t xml:space="preserve">시장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영업 시간이 언제인가요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</si>
  <si>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시장</t>
    </r>
    <r>
      <rPr>
        <sz val="10"/>
        <rFont val="맑은 고딕"/>
        <family val="0"/>
        <charset val="1"/>
      </rPr>
      <t xml:space="preserve">}: 2</t>
    </r>
    <r>
      <rPr>
        <sz val="10"/>
        <rFont val="Noto Sans CJK SC"/>
        <family val="2"/>
      </rPr>
      <t xml:space="preserve">곳</t>
    </r>
  </si>
  <si>
    <t xml:space="preserve">Q293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</si>
  <si>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{</t>
    </r>
    <r>
      <rPr>
        <sz val="10"/>
        <rFont val="Noto Sans CJK SC"/>
        <family val="2"/>
      </rPr>
      <t xml:space="preserve">시장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위치가 어디인가요</t>
    </r>
    <r>
      <rPr>
        <sz val="10"/>
        <rFont val="맑은 고딕"/>
        <family val="0"/>
        <charset val="1"/>
      </rPr>
      <t xml:space="preserve">?</t>
    </r>
  </si>
  <si>
    <t xml:space="preserve">Q294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</si>
  <si>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창업 지원 사업 신청은 어디서 하나요</t>
    </r>
    <r>
      <rPr>
        <sz val="10"/>
        <rFont val="맑은 고딕"/>
        <family val="0"/>
        <charset val="1"/>
      </rPr>
      <t xml:space="preserve">?</t>
    </r>
  </si>
  <si>
    <t xml:space="preserve">Q295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</si>
  <si>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창업 지원 담당 부서 전화번호가 뭔가요</t>
    </r>
    <r>
      <rPr>
        <sz val="10"/>
        <rFont val="맑은 고딕"/>
        <family val="0"/>
        <charset val="1"/>
      </rPr>
      <t xml:space="preserve">?</t>
    </r>
  </si>
  <si>
    <t xml:space="preserve">Q296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</si>
  <si>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{</t>
    </r>
    <r>
      <rPr>
        <sz val="10"/>
        <rFont val="Noto Sans CJK SC"/>
        <family val="2"/>
      </rPr>
      <t xml:space="preserve">동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에서 동물등록 대행 기관이 어디인가요</t>
    </r>
    <r>
      <rPr>
        <sz val="10"/>
        <rFont val="맑은 고딕"/>
        <family val="0"/>
        <charset val="1"/>
      </rPr>
      <t xml:space="preserve">?</t>
    </r>
  </si>
  <si>
    <t xml:space="preserve">Q297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</si>
  <si>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유기동물 입양은 어떻게 하나요</t>
    </r>
    <r>
      <rPr>
        <sz val="10"/>
        <rFont val="맑은 고딕"/>
        <family val="0"/>
        <charset val="1"/>
      </rPr>
      <t xml:space="preserve">?</t>
    </r>
  </si>
  <si>
    <t xml:space="preserve">Q298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</si>
  <si>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{</t>
    </r>
    <r>
      <rPr>
        <sz val="10"/>
        <rFont val="Noto Sans CJK SC"/>
        <family val="2"/>
      </rPr>
      <t xml:space="preserve">시설고장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신고 처리 기간이 며칠인가요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</si>
  <si>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시설고장</t>
    </r>
    <r>
      <rPr>
        <sz val="10"/>
        <rFont val="맑은 고딕"/>
        <family val="0"/>
        <charset val="1"/>
      </rPr>
      <t xml:space="preserve">}: 5</t>
    </r>
    <r>
      <rPr>
        <sz val="10"/>
        <rFont val="Noto Sans CJK SC"/>
        <family val="2"/>
      </rPr>
      <t xml:space="preserve">종</t>
    </r>
  </si>
  <si>
    <t xml:space="preserve">Q299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</si>
  <si>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도로 담당 부서 전화번호가 뭔가요</t>
    </r>
    <r>
      <rPr>
        <sz val="10"/>
        <rFont val="맑은 고딕"/>
        <family val="0"/>
        <charset val="1"/>
      </rPr>
      <t xml:space="preserve">?</t>
    </r>
  </si>
  <si>
    <t xml:space="preserve">Q300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</si>
  <si>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{</t>
    </r>
    <r>
      <rPr>
        <sz val="10"/>
        <rFont val="Noto Sans CJK SC"/>
        <family val="2"/>
      </rPr>
      <t xml:space="preserve">해충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신고는 어디에 하나요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</si>
  <si>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해충</t>
    </r>
    <r>
      <rPr>
        <sz val="10"/>
        <rFont val="맑은 고딕"/>
        <family val="0"/>
        <charset val="1"/>
      </rPr>
      <t xml:space="preserve">}: 4</t>
    </r>
    <r>
      <rPr>
        <sz val="10"/>
        <rFont val="Noto Sans CJK SC"/>
        <family val="2"/>
      </rPr>
      <t xml:space="preserve">종</t>
    </r>
  </si>
  <si>
    <t xml:space="preserve">Q301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</si>
  <si>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벌집 제거 비용이 있나요</t>
    </r>
    <r>
      <rPr>
        <sz val="10"/>
        <rFont val="맑은 고딕"/>
        <family val="0"/>
        <charset val="1"/>
      </rPr>
      <t xml:space="preserve">?</t>
    </r>
  </si>
  <si>
    <t xml:space="preserve">Q302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</si>
  <si>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CCTV </t>
    </r>
    <r>
      <rPr>
        <sz val="10"/>
        <rFont val="Noto Sans CJK SC"/>
        <family val="2"/>
      </rPr>
      <t xml:space="preserve">설치 요청은 어떻게 하나요</t>
    </r>
    <r>
      <rPr>
        <sz val="10"/>
        <rFont val="맑은 고딕"/>
        <family val="0"/>
        <charset val="1"/>
      </rPr>
      <t xml:space="preserve">?</t>
    </r>
  </si>
  <si>
    <t xml:space="preserve">Q303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</si>
  <si>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공공 와이파이 고장 신고는 어디에 하나요</t>
    </r>
    <r>
      <rPr>
        <sz val="10"/>
        <rFont val="맑은 고딕"/>
        <family val="0"/>
        <charset val="1"/>
      </rPr>
      <t xml:space="preserve">?</t>
    </r>
  </si>
  <si>
    <t xml:space="preserve">Q304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</si>
  <si>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보건소 </t>
    </r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검사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검사 예약은 어떻게 하나요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</si>
  <si>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검사</t>
    </r>
    <r>
      <rPr>
        <sz val="10"/>
        <rFont val="맑은 고딕"/>
        <family val="0"/>
        <charset val="1"/>
      </rPr>
      <t xml:space="preserve">}: 7</t>
    </r>
    <r>
      <rPr>
        <sz val="10"/>
        <rFont val="Noto Sans CJK SC"/>
        <family val="2"/>
      </rPr>
      <t xml:space="preserve">종</t>
    </r>
  </si>
  <si>
    <t xml:space="preserve">Q305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</si>
  <si>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{</t>
    </r>
    <r>
      <rPr>
        <sz val="10"/>
        <rFont val="Noto Sans CJK SC"/>
        <family val="2"/>
      </rPr>
      <t xml:space="preserve">백신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무료 접종 기간이 언제까지인가요</t>
    </r>
    <r>
      <rPr>
        <sz val="10"/>
        <rFont val="맑은 고딕"/>
        <family val="0"/>
        <charset val="1"/>
      </rPr>
      <t xml:space="preserve">?</t>
    </r>
  </si>
  <si>
    <t xml:space="preserve">Q306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</si>
  <si>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{</t>
    </r>
    <r>
      <rPr>
        <sz val="10"/>
        <rFont val="Noto Sans CJK SC"/>
        <family val="2"/>
      </rPr>
      <t xml:space="preserve">수당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신청 자격이 뭔가요</t>
    </r>
    <r>
      <rPr>
        <sz val="10"/>
        <rFont val="맑은 고딕"/>
        <family val="0"/>
        <charset val="1"/>
      </rPr>
      <t xml:space="preserve">?</t>
    </r>
  </si>
  <si>
    <t xml:space="preserve">Q307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</si>
  <si>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{</t>
    </r>
    <r>
      <rPr>
        <sz val="10"/>
        <rFont val="Noto Sans CJK SC"/>
        <family val="2"/>
      </rPr>
      <t xml:space="preserve">세목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카드 납부 가능한가요</t>
    </r>
    <r>
      <rPr>
        <sz val="10"/>
        <rFont val="맑은 고딕"/>
        <family val="0"/>
        <charset val="1"/>
      </rPr>
      <t xml:space="preserve">?</t>
    </r>
  </si>
  <si>
    <t xml:space="preserve">Q308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</si>
  <si>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{</t>
    </r>
    <r>
      <rPr>
        <sz val="10"/>
        <rFont val="Noto Sans CJK SC"/>
        <family val="2"/>
      </rPr>
      <t xml:space="preserve">신고종류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신고 전화번호가 뭔가요</t>
    </r>
    <r>
      <rPr>
        <sz val="10"/>
        <rFont val="맑은 고딕"/>
        <family val="0"/>
        <charset val="1"/>
      </rPr>
      <t xml:space="preserve">?</t>
    </r>
  </si>
  <si>
    <t xml:space="preserve">Q309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</si>
  <si>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공영주차장 </t>
    </r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감면대상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할인율이 얼마인가요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</si>
  <si>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감면대상</t>
    </r>
    <r>
      <rPr>
        <sz val="10"/>
        <rFont val="맑은 고딕"/>
        <family val="0"/>
        <charset val="1"/>
      </rPr>
      <t xml:space="preserve">}: 5</t>
    </r>
    <r>
      <rPr>
        <sz val="10"/>
        <rFont val="Noto Sans CJK SC"/>
        <family val="2"/>
      </rPr>
      <t xml:space="preserve">종</t>
    </r>
  </si>
  <si>
    <t xml:space="preserve">Q310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</si>
  <si>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{</t>
    </r>
    <r>
      <rPr>
        <sz val="10"/>
        <rFont val="Noto Sans CJK SC"/>
        <family val="2"/>
      </rPr>
      <t xml:space="preserve">구역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주정차 단속 시간이 언제인가요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</si>
  <si>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구역</t>
    </r>
    <r>
      <rPr>
        <sz val="10"/>
        <rFont val="맑은 고딕"/>
        <family val="0"/>
        <charset val="1"/>
      </rPr>
      <t xml:space="preserve">}: </t>
    </r>
    <r>
      <rPr>
        <sz val="10"/>
        <rFont val="Noto Sans CJK SC"/>
        <family val="2"/>
      </rPr>
      <t xml:space="preserve">일반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어린이보호구역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소방시설</t>
    </r>
  </si>
  <si>
    <t xml:space="preserve">Q311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</si>
  <si>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{</t>
    </r>
    <r>
      <rPr>
        <sz val="10"/>
        <rFont val="Noto Sans CJK SC"/>
        <family val="2"/>
      </rPr>
      <t xml:space="preserve">요일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에 진료하는 병원은 어디인가요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</si>
  <si>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요일</t>
    </r>
    <r>
      <rPr>
        <sz val="10"/>
        <rFont val="맑은 고딕"/>
        <family val="0"/>
        <charset val="1"/>
      </rPr>
      <t xml:space="preserve">}: 4</t>
    </r>
    <r>
      <rPr>
        <sz val="10"/>
        <rFont val="Noto Sans CJK SC"/>
        <family val="2"/>
      </rPr>
      <t xml:space="preserve">종</t>
    </r>
  </si>
  <si>
    <t xml:space="preserve">Q312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</si>
  <si>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{</t>
    </r>
    <r>
      <rPr>
        <sz val="10"/>
        <rFont val="Noto Sans CJK SC"/>
        <family val="2"/>
      </rPr>
      <t xml:space="preserve">용도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수도 요금 감면 조건이 뭔가요</t>
    </r>
    <r>
      <rPr>
        <sz val="10"/>
        <rFont val="맑은 고딕"/>
        <family val="0"/>
        <charset val="1"/>
      </rPr>
      <t xml:space="preserve">?</t>
    </r>
  </si>
  <si>
    <t xml:space="preserve">Q313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</si>
  <si>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{</t>
    </r>
    <r>
      <rPr>
        <sz val="10"/>
        <rFont val="Noto Sans CJK SC"/>
        <family val="2"/>
      </rPr>
      <t xml:space="preserve">축제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주요 프로그램이 뭔가요</t>
    </r>
    <r>
      <rPr>
        <sz val="10"/>
        <rFont val="맑은 고딕"/>
        <family val="0"/>
        <charset val="1"/>
      </rPr>
      <t xml:space="preserve">?</t>
    </r>
  </si>
  <si>
    <t xml:space="preserve">Q314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</si>
  <si>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{</t>
    </r>
    <r>
      <rPr>
        <sz val="10"/>
        <rFont val="Noto Sans CJK SC"/>
        <family val="2"/>
      </rPr>
      <t xml:space="preserve">시장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상인회 전화번호가 뭔가요</t>
    </r>
    <r>
      <rPr>
        <sz val="10"/>
        <rFont val="맑은 고딕"/>
        <family val="0"/>
        <charset val="1"/>
      </rPr>
      <t xml:space="preserve">?</t>
    </r>
  </si>
  <si>
    <t xml:space="preserve">Q315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</si>
  <si>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</t>
    </r>
    <r>
      <rPr>
        <sz val="10"/>
        <rFont val="Noto Sans CJK SC"/>
        <family val="2"/>
      </rPr>
      <t xml:space="preserve">에서 </t>
    </r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대형품목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배출은 어디에 내놓나요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</si>
  <si>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대형품목</t>
    </r>
    <r>
      <rPr>
        <sz val="10"/>
        <rFont val="맑은 고딕"/>
        <family val="0"/>
        <charset val="1"/>
      </rPr>
      <t xml:space="preserve">}: 10</t>
    </r>
    <r>
      <rPr>
        <sz val="10"/>
        <rFont val="Noto Sans CJK SC"/>
        <family val="2"/>
      </rPr>
      <t xml:space="preserve">종</t>
    </r>
  </si>
  <si>
    <t xml:space="preserve">Q316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</si>
  <si>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어린이집 입소 대기 순번은 어디서 확인하나요</t>
    </r>
    <r>
      <rPr>
        <sz val="10"/>
        <rFont val="맑은 고딕"/>
        <family val="0"/>
        <charset val="1"/>
      </rPr>
      <t xml:space="preserve">?</t>
    </r>
  </si>
  <si>
    <t xml:space="preserve">Q317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</si>
  <si>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시간제 보육 운영 기관이 어디인가요</t>
    </r>
    <r>
      <rPr>
        <sz val="10"/>
        <rFont val="맑은 고딕"/>
        <family val="0"/>
        <charset val="1"/>
      </rPr>
      <t xml:space="preserve">?</t>
    </r>
  </si>
  <si>
    <t xml:space="preserve">Q318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</si>
  <si>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아이돌봄 서비스 이용 요금이 얼마인가요</t>
    </r>
    <r>
      <rPr>
        <sz val="10"/>
        <rFont val="맑은 고딕"/>
        <family val="0"/>
        <charset val="1"/>
      </rPr>
      <t xml:space="preserve">?</t>
    </r>
  </si>
  <si>
    <t xml:space="preserve">Q319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</si>
  <si>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{</t>
    </r>
    <r>
      <rPr>
        <sz val="10"/>
        <rFont val="Noto Sans CJK SC"/>
        <family val="2"/>
      </rPr>
      <t xml:space="preserve">동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다함께돌봄센터가 어디인가요</t>
    </r>
    <r>
      <rPr>
        <sz val="10"/>
        <rFont val="맑은 고딕"/>
        <family val="0"/>
        <charset val="1"/>
      </rPr>
      <t xml:space="preserve">?</t>
    </r>
  </si>
  <si>
    <t xml:space="preserve">Q320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</si>
  <si>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다함께돌봄센터 운영 시간이 언제인가요</t>
    </r>
    <r>
      <rPr>
        <sz val="10"/>
        <rFont val="맑은 고딕"/>
        <family val="0"/>
        <charset val="1"/>
      </rPr>
      <t xml:space="preserve">?</t>
    </r>
  </si>
  <si>
    <t xml:space="preserve">Q321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</si>
  <si>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아동 급식카드 신청은 어디서 하나요</t>
    </r>
    <r>
      <rPr>
        <sz val="10"/>
        <rFont val="맑은 고딕"/>
        <family val="0"/>
        <charset val="1"/>
      </rPr>
      <t xml:space="preserve">?</t>
    </r>
  </si>
  <si>
    <t xml:space="preserve">Q322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</si>
  <si>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청소년 교통비 지원이 있나요</t>
    </r>
    <r>
      <rPr>
        <sz val="10"/>
        <rFont val="맑은 고딕"/>
        <family val="0"/>
        <charset val="1"/>
      </rPr>
      <t xml:space="preserve">?</t>
    </r>
  </si>
  <si>
    <t xml:space="preserve">Q323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</si>
  <si>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다자녀 가정 </t>
    </r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혜택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혜택이 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</si>
  <si>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혜택</t>
    </r>
    <r>
      <rPr>
        <sz val="10"/>
        <rFont val="맑은 고딕"/>
        <family val="0"/>
        <charset val="1"/>
      </rPr>
      <t xml:space="preserve">}: </t>
    </r>
    <r>
      <rPr>
        <sz val="10"/>
        <rFont val="Noto Sans CJK SC"/>
        <family val="2"/>
      </rPr>
      <t xml:space="preserve">어린이집 우선 입소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공영주차 감면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상하수도 감면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문화시설 할인</t>
    </r>
  </si>
  <si>
    <t xml:space="preserve">Q324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</si>
  <si>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청소년상담복지센터는 어디에 있나요</t>
    </r>
    <r>
      <rPr>
        <sz val="10"/>
        <rFont val="맑은 고딕"/>
        <family val="0"/>
        <charset val="1"/>
      </rPr>
      <t xml:space="preserve">?</t>
    </r>
  </si>
  <si>
    <t xml:space="preserve">Q325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</si>
  <si>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평생학습관 </t>
    </r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강좌유형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강좌 수강료가 얼마인가요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</si>
  <si>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강좌유형</t>
    </r>
    <r>
      <rPr>
        <sz val="10"/>
        <rFont val="맑은 고딕"/>
        <family val="0"/>
        <charset val="1"/>
      </rPr>
      <t xml:space="preserve">}: </t>
    </r>
    <r>
      <rPr>
        <sz val="10"/>
        <rFont val="Noto Sans CJK SC"/>
        <family val="2"/>
      </rPr>
      <t xml:space="preserve">어학</t>
    </r>
    <r>
      <rPr>
        <sz val="10"/>
        <rFont val="맑은 고딕"/>
        <family val="0"/>
        <charset val="1"/>
      </rPr>
      <t xml:space="preserve">·IT·</t>
    </r>
    <r>
      <rPr>
        <sz val="10"/>
        <rFont val="Noto Sans CJK SC"/>
        <family val="2"/>
      </rPr>
      <t xml:space="preserve">요리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악기</t>
    </r>
  </si>
  <si>
    <t xml:space="preserve">Q326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</si>
  <si>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평생학습관 전화번호가 뭔가요</t>
    </r>
    <r>
      <rPr>
        <sz val="10"/>
        <rFont val="맑은 고딕"/>
        <family val="0"/>
        <charset val="1"/>
      </rPr>
      <t xml:space="preserve">?</t>
    </r>
  </si>
  <si>
    <t xml:space="preserve">Q327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</si>
  <si>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건축물 용도변경 신고는 어디서 하나요</t>
    </r>
    <r>
      <rPr>
        <sz val="10"/>
        <rFont val="맑은 고딕"/>
        <family val="0"/>
        <charset val="1"/>
      </rPr>
      <t xml:space="preserve">?</t>
    </r>
  </si>
  <si>
    <t xml:space="preserve">Q328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</si>
  <si>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옥외광고물 허가 수수료가 얼마인가요</t>
    </r>
    <r>
      <rPr>
        <sz val="10"/>
        <rFont val="맑은 고딕"/>
        <family val="0"/>
        <charset val="1"/>
      </rPr>
      <t xml:space="preserve">?</t>
    </r>
  </si>
  <si>
    <t xml:space="preserve">Q329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</si>
  <si>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{</t>
    </r>
    <r>
      <rPr>
        <sz val="10"/>
        <rFont val="Noto Sans CJK SC"/>
        <family val="2"/>
      </rPr>
      <t xml:space="preserve">인허가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처리 기간이 얼마나 되나요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</si>
  <si>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인허가</t>
    </r>
    <r>
      <rPr>
        <sz val="10"/>
        <rFont val="맑은 고딕"/>
        <family val="0"/>
        <charset val="1"/>
      </rPr>
      <t xml:space="preserve">}: </t>
    </r>
    <r>
      <rPr>
        <sz val="10"/>
        <rFont val="Noto Sans CJK SC"/>
        <family val="2"/>
      </rPr>
      <t xml:space="preserve">건축 허가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건축 신고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착공 신고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사용 승인</t>
    </r>
  </si>
  <si>
    <t xml:space="preserve">Q330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</si>
  <si>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주택 부설주차장 설치 기준이 뭔가요</t>
    </r>
    <r>
      <rPr>
        <sz val="10"/>
        <rFont val="맑은 고딕"/>
        <family val="0"/>
        <charset val="1"/>
      </rPr>
      <t xml:space="preserve">?</t>
    </r>
  </si>
  <si>
    <t xml:space="preserve">Q331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</si>
  <si>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공동주택 </t>
    </r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사업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지원 대상이 뭔가요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</si>
  <si>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사업</t>
    </r>
    <r>
      <rPr>
        <sz val="10"/>
        <rFont val="맑은 고딕"/>
        <family val="0"/>
        <charset val="1"/>
      </rPr>
      <t xml:space="preserve">}: </t>
    </r>
    <r>
      <rPr>
        <sz val="10"/>
        <rFont val="Noto Sans CJK SC"/>
        <family val="2"/>
      </rPr>
      <t xml:space="preserve">승강기 교체</t>
    </r>
    <r>
      <rPr>
        <sz val="10"/>
        <rFont val="맑은 고딕"/>
        <family val="0"/>
        <charset val="1"/>
      </rPr>
      <t xml:space="preserve">·CCTV </t>
    </r>
    <r>
      <rPr>
        <sz val="10"/>
        <rFont val="Noto Sans CJK SC"/>
        <family val="2"/>
      </rPr>
      <t xml:space="preserve">설치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놀이터 개선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옥상 방수</t>
    </r>
  </si>
  <si>
    <t xml:space="preserve">Q332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</si>
  <si>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빈집 신고는 어디에 하나요</t>
    </r>
    <r>
      <rPr>
        <sz val="10"/>
        <rFont val="맑은 고딕"/>
        <family val="0"/>
        <charset val="1"/>
      </rPr>
      <t xml:space="preserve">?</t>
    </r>
  </si>
  <si>
    <t xml:space="preserve">Q333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</si>
  <si>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집수리 지원 사업 지원 금액이 얼마인가요</t>
    </r>
    <r>
      <rPr>
        <sz val="10"/>
        <rFont val="맑은 고딕"/>
        <family val="0"/>
        <charset val="1"/>
      </rPr>
      <t xml:space="preserve">?</t>
    </r>
  </si>
  <si>
    <t xml:space="preserve">Q334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</si>
  <si>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도시가스 미공급 지역 지원이 있나요</t>
    </r>
    <r>
      <rPr>
        <sz val="10"/>
        <rFont val="맑은 고딕"/>
        <family val="0"/>
        <charset val="1"/>
      </rPr>
      <t xml:space="preserve">?</t>
    </r>
  </si>
  <si>
    <t xml:space="preserve">Q335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</si>
  <si>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주택 임대차 신고는 어디서 하나요</t>
    </r>
    <r>
      <rPr>
        <sz val="10"/>
        <rFont val="맑은 고딕"/>
        <family val="0"/>
        <charset val="1"/>
      </rPr>
      <t xml:space="preserve">?</t>
    </r>
  </si>
  <si>
    <t xml:space="preserve">Q336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</si>
  <si>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임대차 신고 안 하면 과태료가 얼마인가요</t>
    </r>
    <r>
      <rPr>
        <sz val="10"/>
        <rFont val="맑은 고딕"/>
        <family val="0"/>
        <charset val="1"/>
      </rPr>
      <t xml:space="preserve">?</t>
    </r>
  </si>
  <si>
    <t xml:space="preserve">Q337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</si>
  <si>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전세 피해자 </t>
    </r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피해지원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지원은 어디서 받나요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</si>
  <si>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피해지원</t>
    </r>
    <r>
      <rPr>
        <sz val="10"/>
        <rFont val="맑은 고딕"/>
        <family val="0"/>
        <charset val="1"/>
      </rPr>
      <t xml:space="preserve">}: </t>
    </r>
    <r>
      <rPr>
        <sz val="10"/>
        <rFont val="Noto Sans CJK SC"/>
        <family val="2"/>
      </rPr>
      <t xml:space="preserve">법률 상담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긴급 주거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금융 지원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심리 상담</t>
    </r>
  </si>
  <si>
    <t xml:space="preserve">Q338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</si>
  <si>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{</t>
    </r>
    <r>
      <rPr>
        <sz val="10"/>
        <rFont val="Noto Sans CJK SC"/>
        <family val="2"/>
      </rPr>
      <t xml:space="preserve">임대유형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신청은 어디서 하나요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</si>
  <si>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임대유형</t>
    </r>
    <r>
      <rPr>
        <sz val="10"/>
        <rFont val="맑은 고딕"/>
        <family val="0"/>
        <charset val="1"/>
      </rPr>
      <t xml:space="preserve">}: </t>
    </r>
    <r>
      <rPr>
        <sz val="10"/>
        <rFont val="Noto Sans CJK SC"/>
        <family val="2"/>
      </rPr>
      <t xml:space="preserve">행복주택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국민임대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전세임대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매입임대</t>
    </r>
  </si>
  <si>
    <t xml:space="preserve">Q339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</si>
  <si>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주거급여 지급 금액이 얼마인가요</t>
    </r>
    <r>
      <rPr>
        <sz val="10"/>
        <rFont val="맑은 고딕"/>
        <family val="0"/>
        <charset val="1"/>
      </rPr>
      <t xml:space="preserve">?</t>
    </r>
  </si>
  <si>
    <t xml:space="preserve">Q340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</si>
  <si>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주거급여 신청 서류가 뭔가요</t>
    </r>
    <r>
      <rPr>
        <sz val="10"/>
        <rFont val="맑은 고딕"/>
        <family val="0"/>
        <charset val="1"/>
      </rPr>
      <t xml:space="preserve">?</t>
    </r>
  </si>
  <si>
    <t xml:space="preserve">Q341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</si>
  <si>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소상공인 </t>
    </r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소상공인지원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지원이 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</si>
  <si>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소상공인지원</t>
    </r>
    <r>
      <rPr>
        <sz val="10"/>
        <rFont val="맑은 고딕"/>
        <family val="0"/>
        <charset val="1"/>
      </rPr>
      <t xml:space="preserve">}: </t>
    </r>
    <r>
      <rPr>
        <sz val="10"/>
        <rFont val="Noto Sans CJK SC"/>
        <family val="2"/>
      </rPr>
      <t xml:space="preserve">대출 이자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카드 수수료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노란우산 가입비</t>
    </r>
  </si>
  <si>
    <t xml:space="preserve">Q342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</si>
  <si>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소상공인 폐업 지원 금액이 얼마인가요</t>
    </r>
    <r>
      <rPr>
        <sz val="10"/>
        <rFont val="맑은 고딕"/>
        <family val="0"/>
        <charset val="1"/>
      </rPr>
      <t xml:space="preserve">?</t>
    </r>
  </si>
  <si>
    <t xml:space="preserve">Q343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</si>
  <si>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지역 기업 인증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우수 기업 지정 제도가 있나요</t>
    </r>
    <r>
      <rPr>
        <sz val="10"/>
        <rFont val="맑은 고딕"/>
        <family val="0"/>
        <charset val="1"/>
      </rPr>
      <t xml:space="preserve">?</t>
    </r>
  </si>
  <si>
    <t xml:space="preserve">Q344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</si>
  <si>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일자리센터 </t>
    </r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서비스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받으려면 어떻게 하나요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</si>
  <si>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서비스</t>
    </r>
    <r>
      <rPr>
        <sz val="10"/>
        <rFont val="맑은 고딕"/>
        <family val="0"/>
        <charset val="1"/>
      </rPr>
      <t xml:space="preserve">}: </t>
    </r>
    <r>
      <rPr>
        <sz val="10"/>
        <rFont val="Noto Sans CJK SC"/>
        <family val="2"/>
      </rPr>
      <t xml:space="preserve">취업 알선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직업 훈련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이력서 상담</t>
    </r>
  </si>
  <si>
    <t xml:space="preserve">Q345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</si>
  <si>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공공근로 신청 시기가 언제인가요</t>
    </r>
    <r>
      <rPr>
        <sz val="10"/>
        <rFont val="맑은 고딕"/>
        <family val="0"/>
        <charset val="1"/>
      </rPr>
      <t xml:space="preserve">?</t>
    </r>
  </si>
  <si>
    <t xml:space="preserve">Q346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</si>
  <si>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공공근로 급여가 얼마인가요</t>
    </r>
    <r>
      <rPr>
        <sz val="10"/>
        <rFont val="맑은 고딕"/>
        <family val="0"/>
        <charset val="1"/>
      </rPr>
      <t xml:space="preserve">?</t>
    </r>
  </si>
  <si>
    <t xml:space="preserve">Q347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</si>
  <si>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농업기술센터는 어디에 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</si>
  <si>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— (</t>
    </r>
    <r>
      <rPr>
        <sz val="10"/>
        <rFont val="Noto Sans CJK SC"/>
        <family val="2"/>
      </rPr>
      <t xml:space="preserve">농어촌 광역 확장 후보</t>
    </r>
    <r>
      <rPr>
        <sz val="10"/>
        <rFont val="맑은 고딕"/>
        <family val="0"/>
        <charset val="1"/>
      </rPr>
      <t xml:space="preserve">)</t>
    </r>
  </si>
  <si>
    <t xml:space="preserve">Q348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</si>
  <si>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{</t>
    </r>
    <r>
      <rPr>
        <sz val="10"/>
        <rFont val="Noto Sans CJK SC"/>
        <family val="2"/>
      </rPr>
      <t xml:space="preserve">시장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장보기 배송 서비스가 있나요</t>
    </r>
    <r>
      <rPr>
        <sz val="10"/>
        <rFont val="맑은 고딕"/>
        <family val="0"/>
        <charset val="1"/>
      </rPr>
      <t xml:space="preserve">?</t>
    </r>
  </si>
  <si>
    <t xml:space="preserve">Q349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</si>
  <si>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전통시장 야시장은 언제 열리나요</t>
    </r>
    <r>
      <rPr>
        <sz val="10"/>
        <rFont val="맑은 고딕"/>
        <family val="0"/>
        <charset val="1"/>
      </rPr>
      <t xml:space="preserve">?</t>
    </r>
  </si>
  <si>
    <t xml:space="preserve">Q350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</si>
  <si>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{</t>
    </r>
    <r>
      <rPr>
        <sz val="10"/>
        <rFont val="Noto Sans CJK SC"/>
        <family val="2"/>
      </rPr>
      <t xml:space="preserve">창업대상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창업 지원 사업이 있나요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</si>
  <si>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창업대상</t>
    </r>
    <r>
      <rPr>
        <sz val="10"/>
        <rFont val="맑은 고딕"/>
        <family val="0"/>
        <charset val="1"/>
      </rPr>
      <t xml:space="preserve">}: </t>
    </r>
    <r>
      <rPr>
        <sz val="10"/>
        <rFont val="Noto Sans CJK SC"/>
        <family val="2"/>
      </rPr>
      <t xml:space="preserve">청년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중장년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여성</t>
    </r>
  </si>
  <si>
    <t xml:space="preserve">Q351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</si>
  <si>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창업 지원금 지원 금액이 얼마인가요</t>
    </r>
    <r>
      <rPr>
        <sz val="10"/>
        <rFont val="맑은 고딕"/>
        <family val="0"/>
        <charset val="1"/>
      </rPr>
      <t xml:space="preserve">?</t>
    </r>
  </si>
  <si>
    <t xml:space="preserve">Q352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</si>
  <si>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{</t>
    </r>
    <r>
      <rPr>
        <sz val="10"/>
        <rFont val="Noto Sans CJK SC"/>
        <family val="2"/>
      </rPr>
      <t xml:space="preserve">세목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감면 대상이 누구인가요</t>
    </r>
    <r>
      <rPr>
        <sz val="10"/>
        <rFont val="맑은 고딕"/>
        <family val="0"/>
        <charset val="1"/>
      </rPr>
      <t xml:space="preserve">?</t>
    </r>
  </si>
  <si>
    <t xml:space="preserve">Q353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</si>
  <si>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{</t>
    </r>
    <r>
      <rPr>
        <sz val="10"/>
        <rFont val="Noto Sans CJK SC"/>
        <family val="2"/>
      </rPr>
      <t xml:space="preserve">동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작은도서관이 어디인가요</t>
    </r>
    <r>
      <rPr>
        <sz val="10"/>
        <rFont val="맑은 고딕"/>
        <family val="0"/>
        <charset val="1"/>
      </rPr>
      <t xml:space="preserve">?</t>
    </r>
  </si>
  <si>
    <t xml:space="preserve">Q354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</si>
  <si>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유기동물 보호소 운영 시간이 언제인가요</t>
    </r>
    <r>
      <rPr>
        <sz val="10"/>
        <rFont val="맑은 고딕"/>
        <family val="0"/>
        <charset val="1"/>
      </rPr>
      <t xml:space="preserve">?</t>
    </r>
  </si>
  <si>
    <t xml:space="preserve">Q355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</si>
  <si>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유기동물 보호소 전화번호가 뭔가요</t>
    </r>
    <r>
      <rPr>
        <sz val="10"/>
        <rFont val="맑은 고딕"/>
        <family val="0"/>
        <charset val="1"/>
      </rPr>
      <t xml:space="preserve">?</t>
    </r>
  </si>
  <si>
    <t xml:space="preserve">Q356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</si>
  <si>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반려견 놀이터는 어디에 있나요</t>
    </r>
    <r>
      <rPr>
        <sz val="10"/>
        <rFont val="맑은 고딕"/>
        <family val="0"/>
        <charset val="1"/>
      </rPr>
      <t xml:space="preserve">?</t>
    </r>
  </si>
  <si>
    <t xml:space="preserve">Q357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</si>
  <si>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 </t>
    </r>
    <r>
      <rPr>
        <sz val="10"/>
        <rFont val="Noto Sans CJK SC"/>
        <family val="2"/>
      </rPr>
      <t xml:space="preserve">가로등 번호로 고장 신고하는 방법이 뭔가요</t>
    </r>
    <r>
      <rPr>
        <sz val="10"/>
        <rFont val="맑은 고딕"/>
        <family val="0"/>
        <charset val="1"/>
      </rPr>
      <t xml:space="preserve">?</t>
    </r>
  </si>
  <si>
    <r>
      <rPr>
        <b val="true"/>
        <sz val="14"/>
        <rFont val="Noto Sans CJK SC"/>
        <family val="2"/>
      </rPr>
      <t xml:space="preserve">매개변수 사전 — 템플릿의 </t>
    </r>
    <r>
      <rPr>
        <b val="true"/>
        <sz val="14"/>
        <rFont val="맑은 고딕"/>
        <family val="0"/>
        <charset val="1"/>
      </rPr>
      <t xml:space="preserve">{</t>
    </r>
    <r>
      <rPr>
        <b val="true"/>
        <sz val="14"/>
        <rFont val="Noto Sans CJK SC"/>
        <family val="2"/>
      </rPr>
      <t xml:space="preserve">매개변수</t>
    </r>
    <r>
      <rPr>
        <b val="true"/>
        <sz val="14"/>
        <rFont val="맑은 고딕"/>
        <family val="0"/>
        <charset val="1"/>
      </rPr>
      <t xml:space="preserve">}</t>
    </r>
    <r>
      <rPr>
        <b val="true"/>
        <sz val="14"/>
        <rFont val="Noto Sans CJK SC"/>
        <family val="2"/>
      </rPr>
      <t xml:space="preserve">에 들어가는 값</t>
    </r>
  </si>
  <si>
    <r>
      <rPr>
        <b val="true"/>
        <sz val="10"/>
        <color rgb="FFFFFFFF"/>
        <rFont val="Noto Sans CJK SC"/>
        <family val="2"/>
      </rPr>
      <t xml:space="preserve">정의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표집 규칙</t>
    </r>
  </si>
  <si>
    <r>
      <rPr>
        <b val="true"/>
        <sz val="10"/>
        <color rgb="FFFFFFFF"/>
        <rFont val="Noto Sans CJK SC"/>
        <family val="2"/>
      </rPr>
      <t xml:space="preserve">값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예시 또는 목록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</si>
  <si>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값 수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</si>
  <si>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지자체</t>
    </r>
    <r>
      <rPr>
        <sz val="10"/>
        <rFont val="맑은 고딕"/>
        <family val="0"/>
        <charset val="1"/>
      </rPr>
      <t xml:space="preserve">}</t>
    </r>
  </si>
  <si>
    <r>
      <rPr>
        <sz val="10"/>
        <rFont val="Noto Sans CJK SC"/>
        <family val="2"/>
      </rPr>
      <t xml:space="preserve">전국 </t>
    </r>
    <r>
      <rPr>
        <sz val="10"/>
        <rFont val="맑은 고딕"/>
        <family val="0"/>
        <charset val="1"/>
      </rPr>
      <t xml:space="preserve">226 </t>
    </r>
    <r>
      <rPr>
        <sz val="10"/>
        <rFont val="Noto Sans CJK SC"/>
        <family val="2"/>
      </rPr>
      <t xml:space="preserve">기초지자체 공식 명칭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구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측정 시 지명 사다리 </t>
    </r>
    <r>
      <rPr>
        <sz val="10"/>
        <rFont val="맑은 고딕"/>
        <family val="0"/>
        <charset val="1"/>
      </rPr>
      <t xml:space="preserve">L2 </t>
    </r>
    <r>
      <rPr>
        <sz val="10"/>
        <rFont val="Noto Sans CJK SC"/>
        <family val="2"/>
      </rPr>
      <t xml:space="preserve">기본</t>
    </r>
    <r>
      <rPr>
        <sz val="10"/>
        <rFont val="맑은 고딕"/>
        <family val="0"/>
        <charset val="1"/>
      </rPr>
      <t xml:space="preserve">, L1(</t>
    </r>
    <r>
      <rPr>
        <sz val="10"/>
        <rFont val="Noto Sans CJK SC"/>
        <family val="2"/>
      </rPr>
      <t xml:space="preserve">광역</t>
    </r>
    <r>
      <rPr>
        <sz val="10"/>
        <rFont val="맑은 고딕"/>
        <family val="0"/>
        <charset val="1"/>
      </rPr>
      <t xml:space="preserve">+</t>
    </r>
    <r>
      <rPr>
        <sz val="10"/>
        <rFont val="Noto Sans CJK SC"/>
        <family val="2"/>
      </rPr>
      <t xml:space="preserve">기초</t>
    </r>
    <r>
      <rPr>
        <sz val="10"/>
        <rFont val="맑은 고딕"/>
        <family val="0"/>
        <charset val="1"/>
      </rPr>
      <t xml:space="preserve">)·L3(</t>
    </r>
    <r>
      <rPr>
        <sz val="10"/>
        <rFont val="Noto Sans CJK SC"/>
        <family val="2"/>
      </rPr>
      <t xml:space="preserve">읍면동</t>
    </r>
    <r>
      <rPr>
        <sz val="10"/>
        <rFont val="맑은 고딕"/>
        <family val="0"/>
        <charset val="1"/>
      </rPr>
      <t xml:space="preserve">)·L4(</t>
    </r>
    <r>
      <rPr>
        <sz val="10"/>
        <rFont val="Noto Sans CJK SC"/>
        <family val="2"/>
      </rPr>
      <t xml:space="preserve">상위 기관 없이 시설명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로 확장</t>
    </r>
  </si>
  <si>
    <r>
      <rPr>
        <sz val="10"/>
        <rFont val="Noto Sans CJK SC"/>
        <family val="2"/>
      </rPr>
      <t xml:space="preserve">파일럿 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곳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구로구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수원시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화성시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증평군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광주 서구 → 본측정 </t>
    </r>
    <r>
      <rPr>
        <sz val="10"/>
        <rFont val="맑은 고딕"/>
        <family val="0"/>
        <charset val="1"/>
      </rPr>
      <t xml:space="preserve">226</t>
    </r>
    <r>
      <rPr>
        <sz val="10"/>
        <rFont val="Noto Sans CJK SC"/>
        <family val="2"/>
      </rPr>
      <t xml:space="preserve">곳</t>
    </r>
  </si>
  <si>
    <t xml:space="preserve">전수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</si>
  <si>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동</t>
    </r>
    <r>
      <rPr>
        <sz val="10"/>
        <rFont val="맑은 고딕"/>
        <family val="0"/>
        <charset val="1"/>
      </rPr>
      <t xml:space="preserve">}</t>
    </r>
  </si>
  <si>
    <r>
      <rPr>
        <sz val="10"/>
        <rFont val="Noto Sans CJK SC"/>
        <family val="2"/>
      </rPr>
      <t xml:space="preserve">해당 지자체 읍면동 중 </t>
    </r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곳 표집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인구 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하 각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곳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임의 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곳</t>
    </r>
    <r>
      <rPr>
        <sz val="10"/>
        <rFont val="맑은 고딕"/>
        <family val="0"/>
        <charset val="1"/>
      </rPr>
      <t xml:space="preserve">). </t>
    </r>
    <r>
      <rPr>
        <sz val="10"/>
        <rFont val="Noto Sans CJK SC"/>
        <family val="2"/>
      </rPr>
      <t xml:space="preserve">읍면동이 </t>
    </r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곳 미만이면 전수</t>
    </r>
  </si>
  <si>
    <r>
      <rPr>
        <sz val="10"/>
        <rFont val="Noto Sans CJK SC"/>
        <family val="2"/>
      </rPr>
      <t xml:space="preserve">구로구 예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구로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동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개봉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동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오류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동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수궁동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가리봉동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신도림동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고척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동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항동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증평군은 읍면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곳이라 전수</t>
    </r>
  </si>
  <si>
    <t xml:space="preserve">8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</si>
  <si>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대상</t>
    </r>
    <r>
      <rPr>
        <sz val="10"/>
        <rFont val="맑은 고딕"/>
        <family val="0"/>
        <charset val="1"/>
      </rPr>
      <t xml:space="preserve">}</t>
    </r>
  </si>
  <si>
    <t xml:space="preserve">전입신고 주체</t>
  </si>
  <si>
    <r>
      <rPr>
        <sz val="10"/>
        <rFont val="Noto Sans CJK SC"/>
        <family val="2"/>
      </rPr>
      <t xml:space="preserve">본인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세대원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대리인</t>
    </r>
  </si>
  <si>
    <t xml:space="preserve">3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</si>
  <si>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서류</t>
    </r>
    <r>
      <rPr>
        <sz val="10"/>
        <rFont val="맑은 고딕"/>
        <family val="0"/>
        <charset val="1"/>
      </rPr>
      <t xml:space="preserve">}</t>
    </r>
  </si>
  <si>
    <t xml:space="preserve">주민등록 관련 서류</t>
  </si>
  <si>
    <r>
      <rPr>
        <sz val="10"/>
        <rFont val="Noto Sans CJK SC"/>
        <family val="2"/>
      </rPr>
      <t xml:space="preserve">등본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초본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가족관계증명서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</si>
  <si>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여권종류</t>
    </r>
    <r>
      <rPr>
        <sz val="10"/>
        <rFont val="맑은 고딕"/>
        <family val="0"/>
        <charset val="1"/>
      </rPr>
      <t xml:space="preserve">}</t>
    </r>
  </si>
  <si>
    <r>
      <rPr>
        <sz val="10"/>
        <rFont val="Noto Sans CJK SC"/>
        <family val="2"/>
      </rPr>
      <t xml:space="preserve">여권 유효기간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종류</t>
    </r>
  </si>
  <si>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·5</t>
    </r>
    <r>
      <rPr>
        <sz val="10"/>
        <rFont val="Noto Sans CJK SC"/>
        <family val="2"/>
      </rPr>
      <t xml:space="preserve">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긴급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</si>
  <si>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품목</t>
    </r>
    <r>
      <rPr>
        <sz val="10"/>
        <rFont val="맑은 고딕"/>
        <family val="0"/>
        <charset val="1"/>
      </rPr>
      <t xml:space="preserve">}</t>
    </r>
  </si>
  <si>
    <r>
      <rPr>
        <sz val="10"/>
        <rFont val="Noto Sans CJK SC"/>
        <family val="2"/>
      </rPr>
      <t xml:space="preserve">분리배출 혼동 품목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환경부 분리배출 안내 기준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</si>
  <si>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폐건전지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형광등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폐식용유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깨진 유리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스티로폼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옷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우산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소형가전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</si>
  <si>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대형품목</t>
    </r>
    <r>
      <rPr>
        <sz val="10"/>
        <rFont val="맑은 고딕"/>
        <family val="0"/>
        <charset val="1"/>
      </rPr>
      <t xml:space="preserve">}</t>
    </r>
  </si>
  <si>
    <t xml:space="preserve">대형폐기물 수수료 고시 상 대표 품목</t>
  </si>
  <si>
    <r>
      <rPr>
        <sz val="10"/>
        <rFont val="Noto Sans CJK SC"/>
        <family val="2"/>
      </rPr>
      <t xml:space="preserve">침대 매트리스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장롱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소파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책상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냉장고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세탁기</t>
    </r>
    <r>
      <rPr>
        <sz val="10"/>
        <rFont val="맑은 고딕"/>
        <family val="0"/>
        <charset val="1"/>
      </rPr>
      <t xml:space="preserve">·TV·</t>
    </r>
    <r>
      <rPr>
        <sz val="10"/>
        <rFont val="Noto Sans CJK SC"/>
        <family val="2"/>
      </rPr>
      <t xml:space="preserve">자전거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의자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에어컨</t>
    </r>
  </si>
  <si>
    <t xml:space="preserve">10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</si>
  <si>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주거유형</t>
    </r>
    <r>
      <rPr>
        <sz val="10"/>
        <rFont val="맑은 고딕"/>
        <family val="0"/>
        <charset val="1"/>
      </rPr>
      <t xml:space="preserve">}</t>
    </r>
  </si>
  <si>
    <t xml:space="preserve">음식물쓰레기 배출 방식 구분</t>
  </si>
  <si>
    <r>
      <rPr>
        <sz val="10"/>
        <rFont val="Noto Sans CJK SC"/>
        <family val="2"/>
      </rPr>
      <t xml:space="preserve">단독주택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공동주택</t>
    </r>
  </si>
  <si>
    <t xml:space="preserve">2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</si>
  <si>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용량</t>
    </r>
    <r>
      <rPr>
        <sz val="10"/>
        <rFont val="맑은 고딕"/>
        <family val="0"/>
        <charset val="1"/>
      </rPr>
      <t xml:space="preserve">}</t>
    </r>
  </si>
  <si>
    <t xml:space="preserve">봉투 용량</t>
  </si>
  <si>
    <t xml:space="preserve">2L·3L·5L / 10L·20L·50L·75L</t>
  </si>
  <si>
    <t xml:space="preserve">3 / 4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</si>
  <si>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음식물품목</t>
    </r>
    <r>
      <rPr>
        <sz val="10"/>
        <rFont val="맑은 고딕"/>
        <family val="0"/>
        <charset val="1"/>
      </rPr>
      <t xml:space="preserve">}</t>
    </r>
  </si>
  <si>
    <t xml:space="preserve">음식물쓰레기 여부 혼동 품목</t>
  </si>
  <si>
    <r>
      <rPr>
        <sz val="10"/>
        <rFont val="Noto Sans CJK SC"/>
        <family val="2"/>
      </rPr>
      <t xml:space="preserve">계란 껍데기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바나나 껍질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복숭아 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치킨 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조개 껍데기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커피 찌꺼기</t>
    </r>
  </si>
  <si>
    <t xml:space="preserve">6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</si>
  <si>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차종</t>
    </r>
    <r>
      <rPr>
        <sz val="10"/>
        <rFont val="맑은 고딕"/>
        <family val="0"/>
        <charset val="1"/>
      </rPr>
      <t xml:space="preserve">}×{</t>
    </r>
    <r>
      <rPr>
        <sz val="10"/>
        <rFont val="Noto Sans CJK SC"/>
        <family val="2"/>
      </rPr>
      <t xml:space="preserve">구역</t>
    </r>
    <r>
      <rPr>
        <sz val="10"/>
        <rFont val="맑은 고딕"/>
        <family val="0"/>
        <charset val="1"/>
      </rPr>
      <t xml:space="preserve">}</t>
    </r>
  </si>
  <si>
    <t xml:space="preserve">주정차 과태료 구분</t>
  </si>
  <si>
    <r>
      <rPr>
        <sz val="10"/>
        <rFont val="Noto Sans CJK SC"/>
        <family val="2"/>
      </rPr>
      <t xml:space="preserve">승용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승합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SC"/>
        <family val="2"/>
      </rPr>
      <t xml:space="preserve">일반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어린이보호구역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소방시설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</si>
  <si>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구분</t>
    </r>
    <r>
      <rPr>
        <sz val="10"/>
        <rFont val="맑은 고딕"/>
        <family val="0"/>
        <charset val="1"/>
      </rPr>
      <t xml:space="preserve">}</t>
    </r>
  </si>
  <si>
    <t xml:space="preserve">거주자우선주차 시간 구분</t>
  </si>
  <si>
    <r>
      <rPr>
        <sz val="10"/>
        <rFont val="Noto Sans CJK SC"/>
        <family val="2"/>
      </rPr>
      <t xml:space="preserve">전일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주간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야간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</si>
  <si>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급지</t>
    </r>
    <r>
      <rPr>
        <sz val="10"/>
        <rFont val="맑은 고딕"/>
        <family val="0"/>
        <charset val="1"/>
      </rPr>
      <t xml:space="preserve">}</t>
    </r>
  </si>
  <si>
    <t xml:space="preserve">공영주차장 요금 급지</t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</si>
  <si>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급지</t>
    </r>
    <r>
      <rPr>
        <sz val="10"/>
        <rFont val="맑은 고딕"/>
        <family val="0"/>
        <charset val="1"/>
      </rPr>
      <t xml:space="preserve">·2</t>
    </r>
    <r>
      <rPr>
        <sz val="10"/>
        <rFont val="Noto Sans CJK SC"/>
        <family val="2"/>
      </rPr>
      <t xml:space="preserve">급지</t>
    </r>
    <r>
      <rPr>
        <sz val="10"/>
        <rFont val="맑은 고딕"/>
        <family val="0"/>
        <charset val="1"/>
      </rPr>
      <t xml:space="preserve">·3</t>
    </r>
    <r>
      <rPr>
        <sz val="10"/>
        <rFont val="Noto Sans CJK SC"/>
        <family val="2"/>
      </rPr>
      <t xml:space="preserve">급지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</si>
  <si>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감면대상</t>
    </r>
    <r>
      <rPr>
        <sz val="10"/>
        <rFont val="맑은 고딕"/>
        <family val="0"/>
        <charset val="1"/>
      </rPr>
      <t xml:space="preserve">}</t>
    </r>
  </si>
  <si>
    <t xml:space="preserve">주차 요금 감면 대상</t>
  </si>
  <si>
    <r>
      <rPr>
        <sz val="10"/>
        <rFont val="Noto Sans CJK SC"/>
        <family val="2"/>
      </rPr>
      <t xml:space="preserve">경차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장애인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국가유공자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저공해차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다자녀</t>
    </r>
  </si>
  <si>
    <t xml:space="preserve">5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</si>
  <si>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검사</t>
    </r>
    <r>
      <rPr>
        <sz val="10"/>
        <rFont val="맑은 고딕"/>
        <family val="0"/>
        <charset val="1"/>
      </rPr>
      <t xml:space="preserve">}</t>
    </r>
  </si>
  <si>
    <t xml:space="preserve">보건소 검사 항목</t>
  </si>
  <si>
    <r>
      <rPr>
        <sz val="10"/>
        <rFont val="Noto Sans CJK SC"/>
        <family val="2"/>
      </rPr>
      <t xml:space="preserve">결핵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에이즈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간염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골밀도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구강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잠복결핵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성병</t>
    </r>
  </si>
  <si>
    <t xml:space="preserve">7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</si>
  <si>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보건지소</t>
    </r>
    <r>
      <rPr>
        <sz val="10"/>
        <rFont val="맑은 고딕"/>
        <family val="0"/>
        <charset val="1"/>
      </rPr>
      <t xml:space="preserve">}</t>
    </r>
  </si>
  <si>
    <r>
      <rPr>
        <sz val="10"/>
        <rFont val="Noto Sans CJK SC"/>
        <family val="2"/>
      </rPr>
      <t xml:space="preserve">보건소 본소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지소</t>
    </r>
  </si>
  <si>
    <r>
      <rPr>
        <sz val="10"/>
        <rFont val="Noto Sans CJK SC"/>
        <family val="2"/>
      </rPr>
      <t xml:space="preserve">본소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지소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곳 표집</t>
    </r>
  </si>
  <si>
    <t xml:space="preserve">4</t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</si>
  <si>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백신</t>
    </r>
    <r>
      <rPr>
        <sz val="10"/>
        <rFont val="맑은 고딕"/>
        <family val="0"/>
        <charset val="1"/>
      </rPr>
      <t xml:space="preserve">}</t>
    </r>
  </si>
  <si>
    <r>
      <rPr>
        <sz val="10"/>
        <rFont val="Noto Sans CJK SC"/>
        <family val="2"/>
      </rPr>
      <t xml:space="preserve">국가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지자체 무료 접종 백신</t>
    </r>
  </si>
  <si>
    <r>
      <rPr>
        <sz val="10"/>
        <rFont val="Noto Sans CJK SC"/>
        <family val="2"/>
      </rPr>
      <t xml:space="preserve">독감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대상포진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폐렴구균</t>
    </r>
    <r>
      <rPr>
        <sz val="10"/>
        <rFont val="맑은 고딕"/>
        <family val="0"/>
        <charset val="1"/>
      </rPr>
      <t xml:space="preserve">·B</t>
    </r>
    <r>
      <rPr>
        <sz val="10"/>
        <rFont val="Noto Sans CJK SC"/>
        <family val="2"/>
      </rPr>
      <t xml:space="preserve">형간염</t>
    </r>
    <r>
      <rPr>
        <sz val="10"/>
        <rFont val="맑은 고딕"/>
        <family val="0"/>
        <charset val="1"/>
      </rPr>
      <t xml:space="preserve">·HPV·</t>
    </r>
    <r>
      <rPr>
        <sz val="10"/>
        <rFont val="Noto Sans CJK SC"/>
        <family val="2"/>
      </rPr>
      <t xml:space="preserve">코로나</t>
    </r>
    <r>
      <rPr>
        <sz val="10"/>
        <rFont val="맑은 고딕"/>
        <family val="0"/>
        <charset val="1"/>
      </rPr>
      <t xml:space="preserve">19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</si>
  <si>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요일</t>
    </r>
    <r>
      <rPr>
        <sz val="10"/>
        <rFont val="맑은 고딕"/>
        <family val="0"/>
        <charset val="1"/>
      </rPr>
      <t xml:space="preserve">}</t>
    </r>
  </si>
  <si>
    <t xml:space="preserve">약국 운영 요일 구분</t>
  </si>
  <si>
    <r>
      <rPr>
        <sz val="10"/>
        <rFont val="Noto Sans CJK SC"/>
        <family val="2"/>
      </rPr>
      <t xml:space="preserve">평일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토요일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일요일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공휴일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</si>
  <si>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수당</t>
    </r>
    <r>
      <rPr>
        <sz val="10"/>
        <rFont val="맑은 고딕"/>
        <family val="0"/>
        <charset val="1"/>
      </rPr>
      <t xml:space="preserve">}</t>
    </r>
  </si>
  <si>
    <t xml:space="preserve">현금성 복지 급여</t>
  </si>
  <si>
    <r>
      <rPr>
        <sz val="10"/>
        <rFont val="Noto Sans CJK SC"/>
        <family val="2"/>
      </rPr>
      <t xml:space="preserve">기초연금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아동수당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부모급여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장애인연금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영아수당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</si>
  <si>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자녀순위</t>
    </r>
    <r>
      <rPr>
        <sz val="10"/>
        <rFont val="맑은 고딕"/>
        <family val="0"/>
        <charset val="1"/>
      </rPr>
      <t xml:space="preserve">}</t>
    </r>
  </si>
  <si>
    <t xml:space="preserve">출산지원금 구분</t>
  </si>
  <si>
    <r>
      <rPr>
        <sz val="10"/>
        <rFont val="Noto Sans CJK SC"/>
        <family val="2"/>
      </rPr>
      <t xml:space="preserve">첫째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둘째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셋째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</si>
  <si>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지원</t>
    </r>
    <r>
      <rPr>
        <sz val="10"/>
        <rFont val="맑은 고딕"/>
        <family val="0"/>
        <charset val="1"/>
      </rPr>
      <t xml:space="preserve">}</t>
    </r>
  </si>
  <si>
    <t xml:space="preserve">장애인 지원 유형</t>
  </si>
  <si>
    <r>
      <rPr>
        <sz val="10"/>
        <rFont val="Noto Sans CJK SC"/>
        <family val="2"/>
      </rPr>
      <t xml:space="preserve">보조기기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주거 편의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이동 지원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일자리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</si>
  <si>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세목</t>
    </r>
    <r>
      <rPr>
        <sz val="10"/>
        <rFont val="맑은 고딕"/>
        <family val="0"/>
        <charset val="1"/>
      </rPr>
      <t xml:space="preserve">}</t>
    </r>
  </si>
  <si>
    <t xml:space="preserve">지방세 세목</t>
  </si>
  <si>
    <r>
      <rPr>
        <sz val="10"/>
        <rFont val="Noto Sans CJK SC"/>
        <family val="2"/>
      </rPr>
      <t xml:space="preserve">재산세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재산세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자동차세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주민세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등록면허세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</si>
  <si>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용도</t>
    </r>
    <r>
      <rPr>
        <sz val="10"/>
        <rFont val="맑은 고딕"/>
        <family val="0"/>
        <charset val="1"/>
      </rPr>
      <t xml:space="preserve">}</t>
    </r>
  </si>
  <si>
    <t xml:space="preserve">수도 요금 용도</t>
  </si>
  <si>
    <r>
      <rPr>
        <sz val="10"/>
        <rFont val="Noto Sans CJK SC"/>
        <family val="2"/>
      </rPr>
      <t xml:space="preserve">가정용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일반용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욕탕용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</si>
  <si>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신고종류</t>
    </r>
    <r>
      <rPr>
        <sz val="10"/>
        <rFont val="맑은 고딕"/>
        <family val="0"/>
        <charset val="1"/>
      </rPr>
      <t xml:space="preserve">}</t>
    </r>
  </si>
  <si>
    <t xml:space="preserve">생활 민원 신고 종류</t>
  </si>
  <si>
    <r>
      <rPr>
        <sz val="10"/>
        <rFont val="Noto Sans CJK SC"/>
        <family val="2"/>
      </rPr>
      <t xml:space="preserve">불법 주정차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쓰레기 무단투기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소음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불법 광고물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공사장 민원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</si>
  <si>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도서관</t>
    </r>
    <r>
      <rPr>
        <sz val="10"/>
        <rFont val="맑은 고딕"/>
        <family val="0"/>
        <charset val="1"/>
      </rPr>
      <t xml:space="preserve">}</t>
    </r>
  </si>
  <si>
    <t xml:space="preserve">지자체 공공도서관</t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</si>
  <si>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곳 표집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</si>
  <si>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축제</t>
    </r>
    <r>
      <rPr>
        <sz val="10"/>
        <rFont val="맑은 고딕"/>
        <family val="0"/>
        <charset val="1"/>
      </rPr>
      <t xml:space="preserve">}</t>
    </r>
  </si>
  <si>
    <t xml:space="preserve">공식 목록 상 대표 축제</t>
  </si>
  <si>
    <r>
      <rPr>
        <sz val="10"/>
        <rFont val="Noto Sans CJK SC"/>
        <family val="2"/>
      </rPr>
      <t xml:space="preserve">문체부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지자체 공식 목록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개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</si>
  <si>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명소</t>
    </r>
    <r>
      <rPr>
        <sz val="10"/>
        <rFont val="맑은 고딕"/>
        <family val="0"/>
        <charset val="1"/>
      </rPr>
      <t xml:space="preserve">}</t>
    </r>
  </si>
  <si>
    <t xml:space="preserve">공식 관광 목록 상 명소</t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</si>
  <si>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곳 표집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로컬</t>
    </r>
    <r>
      <rPr>
        <sz val="10"/>
        <rFont val="맑은 고딕"/>
        <family val="0"/>
        <charset val="1"/>
      </rPr>
      <t xml:space="preserve">100 </t>
    </r>
    <r>
      <rPr>
        <sz val="10"/>
        <rFont val="Noto Sans CJK SC"/>
        <family val="2"/>
      </rPr>
      <t xml:space="preserve">포함 시 우선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</si>
  <si>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지원항목</t>
    </r>
    <r>
      <rPr>
        <sz val="10"/>
        <rFont val="맑은 고딕"/>
        <family val="0"/>
        <charset val="1"/>
      </rPr>
      <t xml:space="preserve">}</t>
    </r>
  </si>
  <si>
    <t xml:space="preserve">소상공인 지원 항목</t>
  </si>
  <si>
    <r>
      <rPr>
        <sz val="10"/>
        <rFont val="Noto Sans CJK SC"/>
        <family val="2"/>
      </rPr>
      <t xml:space="preserve">간판 개선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경영 컨설팅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온라인 판로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폐업 지원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</si>
  <si>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시장</t>
    </r>
    <r>
      <rPr>
        <sz val="10"/>
        <rFont val="맑은 고딕"/>
        <family val="0"/>
        <charset val="1"/>
      </rPr>
      <t xml:space="preserve">}</t>
    </r>
  </si>
  <si>
    <t xml:space="preserve">등록 전통시장</t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</si>
  <si>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곳 표집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</si>
  <si>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방식</t>
    </r>
    <r>
      <rPr>
        <sz val="10"/>
        <rFont val="맑은 고딕"/>
        <family val="0"/>
        <charset val="1"/>
      </rPr>
      <t xml:space="preserve">}</t>
    </r>
  </si>
  <si>
    <t xml:space="preserve">동물등록 방식</t>
  </si>
  <si>
    <r>
      <rPr>
        <sz val="10"/>
        <rFont val="Noto Sans CJK SC"/>
        <family val="2"/>
      </rPr>
      <t xml:space="preserve">내장형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외장형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</si>
  <si>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혜택</t>
    </r>
    <r>
      <rPr>
        <sz val="10"/>
        <rFont val="맑은 고딕"/>
        <family val="0"/>
        <charset val="1"/>
      </rPr>
      <t xml:space="preserve">}</t>
    </r>
  </si>
  <si>
    <t xml:space="preserve">다자녀 가정 혜택 유형</t>
  </si>
  <si>
    <r>
      <rPr>
        <sz val="10"/>
        <rFont val="Noto Sans CJK SC"/>
        <family val="2"/>
      </rPr>
      <t xml:space="preserve">어린이집 우선 입소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공영주차 감면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상하수도 감면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문화시설 할인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</si>
  <si>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강좌유형</t>
    </r>
    <r>
      <rPr>
        <sz val="10"/>
        <rFont val="맑은 고딕"/>
        <family val="0"/>
        <charset val="1"/>
      </rPr>
      <t xml:space="preserve">}</t>
    </r>
  </si>
  <si>
    <t xml:space="preserve">평생학습 강좌 유형</t>
  </si>
  <si>
    <r>
      <rPr>
        <sz val="10"/>
        <rFont val="Noto Sans CJK SC"/>
        <family val="2"/>
      </rPr>
      <t xml:space="preserve">어학</t>
    </r>
    <r>
      <rPr>
        <sz val="10"/>
        <rFont val="맑은 고딕"/>
        <family val="0"/>
        <charset val="1"/>
      </rPr>
      <t xml:space="preserve">·IT·</t>
    </r>
    <r>
      <rPr>
        <sz val="10"/>
        <rFont val="Noto Sans CJK SC"/>
        <family val="2"/>
      </rPr>
      <t xml:space="preserve">요리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악기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</si>
  <si>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인허가</t>
    </r>
    <r>
      <rPr>
        <sz val="10"/>
        <rFont val="맑은 고딕"/>
        <family val="0"/>
        <charset val="1"/>
      </rPr>
      <t xml:space="preserve">}</t>
    </r>
  </si>
  <si>
    <t xml:space="preserve">건축 인허가 단계</t>
  </si>
  <si>
    <r>
      <rPr>
        <sz val="10"/>
        <rFont val="Noto Sans CJK SC"/>
        <family val="2"/>
      </rPr>
      <t xml:space="preserve">건축 허가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건축 신고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착공 신고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사용 승인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</si>
  <si>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사업</t>
    </r>
    <r>
      <rPr>
        <sz val="10"/>
        <rFont val="맑은 고딕"/>
        <family val="0"/>
        <charset val="1"/>
      </rPr>
      <t xml:space="preserve">}</t>
    </r>
  </si>
  <si>
    <t xml:space="preserve">공동주택 지원 사업 유형</t>
  </si>
  <si>
    <r>
      <rPr>
        <sz val="10"/>
        <rFont val="Noto Sans CJK SC"/>
        <family val="2"/>
      </rPr>
      <t xml:space="preserve">승강기 교체</t>
    </r>
    <r>
      <rPr>
        <sz val="10"/>
        <rFont val="맑은 고딕"/>
        <family val="0"/>
        <charset val="1"/>
      </rPr>
      <t xml:space="preserve">·CCTV </t>
    </r>
    <r>
      <rPr>
        <sz val="10"/>
        <rFont val="Noto Sans CJK SC"/>
        <family val="2"/>
      </rPr>
      <t xml:space="preserve">설치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놀이터 개선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옥상 방수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</si>
  <si>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피해지원</t>
    </r>
    <r>
      <rPr>
        <sz val="10"/>
        <rFont val="맑은 고딕"/>
        <family val="0"/>
        <charset val="1"/>
      </rPr>
      <t xml:space="preserve">}</t>
    </r>
  </si>
  <si>
    <t xml:space="preserve">전세 피해자 지원 유형</t>
  </si>
  <si>
    <r>
      <rPr>
        <sz val="10"/>
        <rFont val="Noto Sans CJK SC"/>
        <family val="2"/>
      </rPr>
      <t xml:space="preserve">법률 상담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긴급 주거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금융 지원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심리 상담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</si>
  <si>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임대유형</t>
    </r>
    <r>
      <rPr>
        <sz val="10"/>
        <rFont val="맑은 고딕"/>
        <family val="0"/>
        <charset val="1"/>
      </rPr>
      <t xml:space="preserve">}</t>
    </r>
  </si>
  <si>
    <t xml:space="preserve">공공임대 유형</t>
  </si>
  <si>
    <r>
      <rPr>
        <sz val="10"/>
        <rFont val="Noto Sans CJK SC"/>
        <family val="2"/>
      </rPr>
      <t xml:space="preserve">행복주택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국민임대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전세임대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매입임대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</si>
  <si>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소상공인지원</t>
    </r>
    <r>
      <rPr>
        <sz val="10"/>
        <rFont val="맑은 고딕"/>
        <family val="0"/>
        <charset val="1"/>
      </rPr>
      <t xml:space="preserve">}</t>
    </r>
  </si>
  <si>
    <t xml:space="preserve">소상공인 금융 지원 유형</t>
  </si>
  <si>
    <r>
      <rPr>
        <sz val="10"/>
        <rFont val="Noto Sans CJK SC"/>
        <family val="2"/>
      </rPr>
      <t xml:space="preserve">대출 이자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카드 수수료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노란우산 가입비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</si>
  <si>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서비스</t>
    </r>
    <r>
      <rPr>
        <sz val="10"/>
        <rFont val="맑은 고딕"/>
        <family val="0"/>
        <charset val="1"/>
      </rPr>
      <t xml:space="preserve">}</t>
    </r>
  </si>
  <si>
    <t xml:space="preserve">일자리센터 서비스</t>
  </si>
  <si>
    <r>
      <rPr>
        <sz val="10"/>
        <rFont val="Noto Sans CJK SC"/>
        <family val="2"/>
      </rPr>
      <t xml:space="preserve">취업 알선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직업 훈련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이력서 상담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</si>
  <si>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창업대상</t>
    </r>
    <r>
      <rPr>
        <sz val="10"/>
        <rFont val="맑은 고딕"/>
        <family val="0"/>
        <charset val="1"/>
      </rPr>
      <t xml:space="preserve">}</t>
    </r>
  </si>
  <si>
    <t xml:space="preserve">창업 지원 대상 구분</t>
  </si>
  <si>
    <r>
      <rPr>
        <sz val="10"/>
        <rFont val="Noto Sans CJK SC"/>
        <family val="2"/>
      </rPr>
      <t xml:space="preserve">청년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중장년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여성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</si>
  <si>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공영주차장</t>
    </r>
    <r>
      <rPr>
        <sz val="10"/>
        <rFont val="맑은 고딕"/>
        <family val="0"/>
        <charset val="1"/>
      </rPr>
      <t xml:space="preserve">}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</si>
  <si>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곳 표집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규모 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하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</si>
  <si>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시설고장</t>
    </r>
    <r>
      <rPr>
        <sz val="10"/>
        <rFont val="맑은 고딕"/>
        <family val="0"/>
        <charset val="1"/>
      </rPr>
      <t xml:space="preserve">}</t>
    </r>
  </si>
  <si>
    <t xml:space="preserve">생활 시설 고장 유형</t>
  </si>
  <si>
    <r>
      <rPr>
        <sz val="10"/>
        <rFont val="Noto Sans CJK SC"/>
        <family val="2"/>
      </rPr>
      <t xml:space="preserve">가로등 고장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도로 파손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보도블록 파손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맨홀 뚜껑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신호등 고장</t>
    </r>
  </si>
  <si>
    <r>
      <rPr>
        <sz val="10"/>
        <rFont val="맑은 고딕"/>
        <family val="0"/>
        <charset val="1"/>
      </rPr>
      <t xml:space="preserve">{</t>
    </r>
    <r>
      <rPr>
        <sz val="10"/>
        <rFont val="Noto Sans CJK SC"/>
        <family val="2"/>
      </rPr>
      <t xml:space="preserve">해충</t>
    </r>
    <r>
      <rPr>
        <sz val="10"/>
        <rFont val="맑은 고딕"/>
        <family val="0"/>
        <charset val="1"/>
      </rPr>
      <t xml:space="preserve">}</t>
    </r>
  </si>
  <si>
    <t xml:space="preserve">방역 대상</t>
  </si>
  <si>
    <r>
      <rPr>
        <sz val="10"/>
        <rFont val="Noto Sans CJK SC"/>
        <family val="2"/>
      </rPr>
      <t xml:space="preserve">모기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바퀴벌레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빈대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쥐</t>
    </r>
  </si>
  <si>
    <r>
      <rPr>
        <b val="true"/>
        <sz val="14"/>
        <rFont val="Noto Sans CJK SC"/>
        <family val="2"/>
      </rPr>
      <t xml:space="preserve">파일럿 검증 기준</t>
    </r>
    <r>
      <rPr>
        <b val="true"/>
        <sz val="14"/>
        <rFont val="맑은 고딕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방법론 </t>
    </r>
    <r>
      <rPr>
        <b val="true"/>
        <sz val="14"/>
        <rFont val="맑은 고딕"/>
        <family val="0"/>
        <charset val="1"/>
      </rPr>
      <t xml:space="preserve">11.2) — </t>
    </r>
    <r>
      <rPr>
        <b val="true"/>
        <sz val="14"/>
        <rFont val="Noto Sans CJK SC"/>
        <family val="2"/>
      </rPr>
      <t xml:space="preserve">임계값은 입력값</t>
    </r>
    <r>
      <rPr>
        <b val="true"/>
        <sz val="14"/>
        <rFont val="맑은 고딕"/>
        <family val="0"/>
        <charset val="1"/>
      </rPr>
      <t xml:space="preserve">, </t>
    </r>
    <r>
      <rPr>
        <b val="true"/>
        <sz val="14"/>
        <rFont val="Noto Sans CJK SC"/>
        <family val="2"/>
      </rPr>
      <t xml:space="preserve">파일럿 결과로 한 번만 조정</t>
    </r>
  </si>
  <si>
    <t xml:space="preserve">기준</t>
  </si>
  <si>
    <t xml:space="preserve">임계값</t>
  </si>
  <si>
    <t xml:space="preserve">방법</t>
  </si>
  <si>
    <t xml:space="preserve">미달 시</t>
  </si>
  <si>
    <t xml:space="preserve">내용 타당도 카파</t>
  </si>
  <si>
    <r>
      <rPr>
        <sz val="10"/>
        <rFont val="Noto Sans CJK SC"/>
        <family val="2"/>
      </rPr>
      <t xml:space="preserve">행정 실무자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인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시민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인 독립 판정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판정자 간 일치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코헨 카파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</si>
  <si>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문구 수정 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회 재판정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또 미달이면 폐기</t>
    </r>
  </si>
  <si>
    <t xml:space="preserve">판정 신뢰도 일치율</t>
  </si>
  <si>
    <r>
      <rPr>
        <sz val="10"/>
        <rFont val="Noto Sans CJK SC"/>
        <family val="2"/>
      </rPr>
      <t xml:space="preserve">같은 </t>
    </r>
    <r>
      <rPr>
        <sz val="10"/>
        <rFont val="맑은 고딕"/>
        <family val="0"/>
        <charset val="1"/>
      </rPr>
      <t xml:space="preserve">AI </t>
    </r>
    <r>
      <rPr>
        <sz val="10"/>
        <rFont val="Noto Sans CJK SC"/>
        <family val="2"/>
      </rPr>
      <t xml:space="preserve">답을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인이 독립 채점한 일치 비율</t>
    </r>
  </si>
  <si>
    <r>
      <rPr>
        <sz val="10"/>
        <rFont val="Noto Sans CJK SC"/>
        <family val="2"/>
      </rPr>
      <t xml:space="preserve">판정 규칙 수정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규칙으로 못 고치면 폐기</t>
    </r>
  </si>
  <si>
    <r>
      <rPr>
        <sz val="10"/>
        <rFont val="Noto Sans CJK SC"/>
        <family val="2"/>
      </rPr>
      <t xml:space="preserve">안정성 변동 상한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</si>
  <si>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일</t>
    </r>
    <r>
      <rPr>
        <sz val="10"/>
        <rFont val="맑은 고딕"/>
        <family val="0"/>
        <charset val="1"/>
      </rPr>
      <t xml:space="preserve">×3</t>
    </r>
    <r>
      <rPr>
        <sz val="10"/>
        <rFont val="Noto Sans CJK SC"/>
        <family val="2"/>
      </rPr>
      <t xml:space="preserve">회 </t>
    </r>
    <r>
      <rPr>
        <sz val="10"/>
        <rFont val="맑은 고딕"/>
        <family val="0"/>
        <charset val="1"/>
      </rPr>
      <t xml:space="preserve">= 9</t>
    </r>
    <r>
      <rPr>
        <sz val="10"/>
        <rFont val="Noto Sans CJK SC"/>
        <family val="2"/>
      </rPr>
      <t xml:space="preserve">회 측정 중 판정 결과가 다수와 다른 횟수</t>
    </r>
  </si>
  <si>
    <r>
      <rPr>
        <sz val="10"/>
        <rFont val="Noto Sans CJK SC"/>
        <family val="2"/>
      </rPr>
      <t xml:space="preserve">폐기하지 않고 ‘불안정 문항’ 표시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별도 집계</t>
    </r>
  </si>
  <si>
    <t xml:space="preserve">변별력 — 최소 정답 지자체 수</t>
  </si>
  <si>
    <r>
      <rPr>
        <sz val="10"/>
        <rFont val="Noto Sans CJK SC"/>
        <family val="2"/>
      </rPr>
      <t xml:space="preserve">파일럿 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곳 중 맞은 곳 수가 이 값 이상이고 아래 값 이하여야 함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고위험은 예외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</si>
  <si>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예비 문항으로 보관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다음 분기 재검토</t>
    </r>
  </si>
  <si>
    <r>
      <rPr>
        <sz val="10"/>
        <rFont val="Noto Sans CJK SC"/>
        <family val="2"/>
      </rPr>
      <t xml:space="preserve">변별력 — 최대 정답 지자체 수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해당 수 −</t>
    </r>
    <r>
      <rPr>
        <sz val="10"/>
        <rFont val="맑은 고딕"/>
        <family val="0"/>
        <charset val="1"/>
      </rPr>
      <t xml:space="preserve">1)</t>
    </r>
  </si>
  <si>
    <r>
      <rPr>
        <sz val="10"/>
        <rFont val="Noto Sans CJK SC"/>
        <family val="2"/>
      </rPr>
      <t xml:space="preserve">맞은 곳 수 ≤ 해당 지자체 수 − 이 값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소규모 군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증평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에서 템플릿이 적용되지 않는 문항은 ‘해당 없음’으로 분모에서 빼고 채점표의 해당 지자체 수를 줄인다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결함이 아니라 축소 검증</t>
    </r>
    <r>
      <rPr>
        <sz val="10"/>
        <rFont val="맑은 고딕"/>
        <family val="0"/>
        <charset val="1"/>
      </rPr>
      <t xml:space="preserve">)</t>
    </r>
  </si>
  <si>
    <t xml:space="preserve">〃</t>
  </si>
  <si>
    <t xml:space="preserve">파일럿 지자체 수</t>
  </si>
  <si>
    <r>
      <rPr>
        <sz val="10"/>
        <rFont val="Noto Sans CJK SC"/>
        <family val="2"/>
      </rPr>
      <t xml:space="preserve">구로구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서울 자치구</t>
    </r>
    <r>
      <rPr>
        <sz val="10"/>
        <rFont val="맑은 고딕"/>
        <family val="0"/>
        <charset val="1"/>
      </rPr>
      <t xml:space="preserve">)·</t>
    </r>
    <r>
      <rPr>
        <sz val="10"/>
        <rFont val="Noto Sans CJK SC"/>
        <family val="2"/>
      </rPr>
      <t xml:space="preserve">수원시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경기 특례시</t>
    </r>
    <r>
      <rPr>
        <sz val="10"/>
        <rFont val="맑은 고딕"/>
        <family val="0"/>
        <charset val="1"/>
      </rPr>
      <t xml:space="preserve">)·</t>
    </r>
    <r>
      <rPr>
        <sz val="10"/>
        <rFont val="Noto Sans CJK SC"/>
        <family val="2"/>
      </rPr>
      <t xml:space="preserve">화성시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경기 </t>
    </r>
    <r>
      <rPr>
        <sz val="10"/>
        <rFont val="맑은 고딕"/>
        <family val="0"/>
        <charset val="1"/>
      </rPr>
      <t xml:space="preserve">100</t>
    </r>
    <r>
      <rPr>
        <sz val="10"/>
        <rFont val="Noto Sans CJK SC"/>
        <family val="2"/>
      </rPr>
      <t xml:space="preserve">만 신도시</t>
    </r>
    <r>
      <rPr>
        <sz val="10"/>
        <rFont val="맑은 고딕"/>
        <family val="0"/>
        <charset val="1"/>
      </rPr>
      <t xml:space="preserve">)·</t>
    </r>
    <r>
      <rPr>
        <sz val="10"/>
        <rFont val="Noto Sans CJK SC"/>
        <family val="2"/>
      </rPr>
      <t xml:space="preserve">증평군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충북 소규모 군</t>
    </r>
    <r>
      <rPr>
        <sz val="10"/>
        <rFont val="맑은 고딕"/>
        <family val="0"/>
        <charset val="1"/>
      </rPr>
      <t xml:space="preserve">)·</t>
    </r>
    <r>
      <rPr>
        <sz val="10"/>
        <rFont val="Noto Sans CJK SC"/>
        <family val="2"/>
      </rPr>
      <t xml:space="preserve">광주 서구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광역시 자치구</t>
    </r>
    <r>
      <rPr>
        <sz val="10"/>
        <rFont val="맑은 고딕"/>
        <family val="0"/>
        <charset val="1"/>
      </rPr>
      <t xml:space="preserve">) — 2026-10-08 </t>
    </r>
    <r>
      <rPr>
        <sz val="10"/>
        <rFont val="Noto Sans CJK SC"/>
        <family val="2"/>
      </rPr>
      <t xml:space="preserve">확정</t>
    </r>
  </si>
  <si>
    <r>
      <rPr>
        <sz val="10"/>
        <rFont val="Noto Sans CJK SC"/>
        <family val="2"/>
      </rPr>
      <t xml:space="preserve">목록 원천 후보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국가 대표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지역 문화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</si>
  <si>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공식 목록에서 별도 추출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지자체 전개 없이 </t>
    </r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회 측정</t>
    </r>
  </si>
  <si>
    <r>
      <rPr>
        <b val="true"/>
        <sz val="10"/>
        <rFont val="Noto Sans CJK SC"/>
        <family val="2"/>
      </rPr>
      <t xml:space="preserve">파일럿 규모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참고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</si>
  <si>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측정 횟수 </t>
    </r>
    <r>
      <rPr>
        <sz val="10"/>
        <rFont val="맑은 고딕"/>
        <family val="0"/>
        <charset val="1"/>
      </rPr>
      <t xml:space="preserve">= </t>
    </r>
    <r>
      <rPr>
        <sz val="10"/>
        <rFont val="Noto Sans CJK SC"/>
        <family val="2"/>
      </rPr>
      <t xml:space="preserve">생활 행정 후보 </t>
    </r>
    <r>
      <rPr>
        <sz val="10"/>
        <rFont val="맑은 고딕"/>
        <family val="0"/>
        <charset val="1"/>
      </rPr>
      <t xml:space="preserve">× </t>
    </r>
    <r>
      <rPr>
        <sz val="10"/>
        <rFont val="Noto Sans CJK SC"/>
        <family val="2"/>
      </rPr>
      <t xml:space="preserve">지자체 </t>
    </r>
    <r>
      <rPr>
        <sz val="10"/>
        <rFont val="맑은 고딕"/>
        <family val="0"/>
        <charset val="1"/>
      </rPr>
      <t xml:space="preserve">5 × 9</t>
    </r>
    <r>
      <rPr>
        <sz val="10"/>
        <rFont val="Noto Sans CJK SC"/>
        <family val="2"/>
      </rPr>
      <t xml:space="preserve">회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목록 후보 </t>
    </r>
    <r>
      <rPr>
        <sz val="10"/>
        <rFont val="맑은 고딕"/>
        <family val="0"/>
        <charset val="1"/>
      </rPr>
      <t xml:space="preserve">900 × 9</t>
    </r>
    <r>
      <rPr>
        <sz val="10"/>
        <rFont val="Noto Sans CJK SC"/>
        <family val="2"/>
      </rPr>
      <t xml:space="preserve">회</t>
    </r>
  </si>
  <si>
    <r>
      <rPr>
        <sz val="10"/>
        <rFont val="Noto Sans CJK SC"/>
        <family val="2"/>
      </rPr>
      <t xml:space="preserve">비용</t>
    </r>
    <r>
      <rPr>
        <sz val="10"/>
        <rFont val="맑은 고딕"/>
        <family val="0"/>
        <charset val="1"/>
      </rPr>
      <t xml:space="preserve">(USD, 1</t>
    </r>
    <r>
      <rPr>
        <sz val="10"/>
        <rFont val="Noto Sans CJK SC"/>
        <family val="2"/>
      </rPr>
      <t xml:space="preserve">차 측정 단가 기준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</si>
  <si>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단가</t>
    </r>
    <r>
      <rPr>
        <sz val="10"/>
        <rFont val="맑은 고딕"/>
        <family val="0"/>
        <charset val="1"/>
      </rPr>
      <t xml:space="preserve">(USD/</t>
    </r>
    <r>
      <rPr>
        <sz val="10"/>
        <rFont val="Noto Sans CJK SC"/>
        <family val="2"/>
      </rPr>
      <t xml:space="preserve">회</t>
    </r>
    <r>
      <rPr>
        <sz val="10"/>
        <rFont val="맑은 고딕"/>
        <family val="0"/>
        <charset val="1"/>
      </rPr>
      <t xml:space="preserve">) — </t>
    </r>
    <r>
      <rPr>
        <sz val="10"/>
        <rFont val="Noto Sans CJK SC"/>
        <family val="2"/>
      </rPr>
      <t xml:space="preserve">사전 등록안 </t>
    </r>
    <r>
      <rPr>
        <sz val="10"/>
        <rFont val="맑은 고딕"/>
        <family val="0"/>
        <charset val="1"/>
      </rPr>
      <t xml:space="preserve">2,500</t>
    </r>
    <r>
      <rPr>
        <sz val="10"/>
        <rFont val="Noto Sans CJK SC"/>
        <family val="2"/>
      </rPr>
      <t xml:space="preserve">회</t>
    </r>
    <r>
      <rPr>
        <sz val="10"/>
        <rFont val="맑은 고딕"/>
        <family val="0"/>
        <charset val="1"/>
      </rPr>
      <t xml:space="preserve">·$61 </t>
    </r>
    <r>
      <rPr>
        <sz val="10"/>
        <rFont val="Noto Sans CJK SC"/>
        <family val="2"/>
      </rPr>
      <t xml:space="preserve">환산</t>
    </r>
  </si>
  <si>
    <t xml:space="preserve">파일럿 채점표 — 템플릿 단위로 다섯 기준을 판정해 패널 편입 여부를 결정</t>
  </si>
  <si>
    <r>
      <rPr>
        <sz val="9"/>
        <color rgb="FF595959"/>
        <rFont val="Noto Sans CJK SC"/>
        <family val="2"/>
      </rPr>
      <t xml:space="preserve">파일럿 </t>
    </r>
    <r>
      <rPr>
        <sz val="9"/>
        <color rgb="FF595959"/>
        <rFont val="맑은 고딕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곳 </t>
    </r>
    <r>
      <rPr>
        <sz val="9"/>
        <color rgb="FF595959"/>
        <rFont val="맑은 고딕"/>
        <family val="0"/>
        <charset val="1"/>
      </rPr>
      <t xml:space="preserve">= </t>
    </r>
    <r>
      <rPr>
        <sz val="9"/>
        <color rgb="FF595959"/>
        <rFont val="Noto Sans CJK SC"/>
        <family val="2"/>
      </rPr>
      <t xml:space="preserve">구로구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수원시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화성시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증평군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광주 서구</t>
    </r>
    <r>
      <rPr>
        <sz val="9"/>
        <color rgb="FF595959"/>
        <rFont val="맑은 고딕"/>
        <family val="0"/>
        <charset val="1"/>
      </rPr>
      <t xml:space="preserve">. </t>
    </r>
    <r>
      <rPr>
        <sz val="9"/>
        <color rgb="FF595959"/>
        <rFont val="Noto Sans CJK SC"/>
        <family val="2"/>
      </rPr>
      <t xml:space="preserve">노란 칸에 입력</t>
    </r>
    <r>
      <rPr>
        <sz val="9"/>
        <color rgb="FF595959"/>
        <rFont val="맑은 고딕"/>
        <family val="0"/>
        <charset val="1"/>
      </rPr>
      <t xml:space="preserve">. </t>
    </r>
    <r>
      <rPr>
        <sz val="9"/>
        <color rgb="FF595959"/>
        <rFont val="Noto Sans CJK SC"/>
        <family val="2"/>
      </rPr>
      <t xml:space="preserve">판정자 </t>
    </r>
    <r>
      <rPr>
        <sz val="9"/>
        <color rgb="FF595959"/>
        <rFont val="맑은 고딕"/>
        <family val="0"/>
        <charset val="1"/>
      </rPr>
      <t xml:space="preserve">A·B</t>
    </r>
    <r>
      <rPr>
        <sz val="9"/>
        <color rgb="FF595959"/>
        <rFont val="Noto Sans CJK SC"/>
        <family val="2"/>
      </rPr>
      <t xml:space="preserve">는 ‘적합</t>
    </r>
    <r>
      <rPr>
        <sz val="9"/>
        <color rgb="FF595959"/>
        <rFont val="맑은 고딕"/>
        <family val="0"/>
        <charset val="1"/>
      </rPr>
      <t xml:space="preserve">/</t>
    </r>
    <r>
      <rPr>
        <sz val="9"/>
        <color rgb="FF595959"/>
        <rFont val="Noto Sans CJK SC"/>
        <family val="2"/>
      </rPr>
      <t xml:space="preserve">부적합’</t>
    </r>
    <r>
      <rPr>
        <sz val="9"/>
        <color rgb="FF595959"/>
        <rFont val="맑은 고딕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일치율은 </t>
    </r>
    <r>
      <rPr>
        <sz val="9"/>
        <color rgb="FF595959"/>
        <rFont val="맑은 고딕"/>
        <family val="0"/>
        <charset val="1"/>
      </rPr>
      <t xml:space="preserve">0~1, </t>
    </r>
    <r>
      <rPr>
        <sz val="9"/>
        <color rgb="FF595959"/>
        <rFont val="Noto Sans CJK SC"/>
        <family val="2"/>
      </rPr>
      <t xml:space="preserve">변동 횟수는 </t>
    </r>
    <r>
      <rPr>
        <sz val="9"/>
        <color rgb="FF595959"/>
        <rFont val="맑은 고딕"/>
        <family val="0"/>
        <charset val="1"/>
      </rPr>
      <t xml:space="preserve">0~9, </t>
    </r>
    <r>
      <rPr>
        <sz val="9"/>
        <color rgb="FF595959"/>
        <rFont val="Noto Sans CJK SC"/>
        <family val="2"/>
      </rPr>
      <t xml:space="preserve">정답 지자체 수는 </t>
    </r>
    <r>
      <rPr>
        <sz val="9"/>
        <color rgb="FF595959"/>
        <rFont val="맑은 고딕"/>
        <family val="0"/>
        <charset val="1"/>
      </rPr>
      <t xml:space="preserve">0~</t>
    </r>
    <r>
      <rPr>
        <sz val="9"/>
        <color rgb="FF595959"/>
        <rFont val="Noto Sans CJK SC"/>
        <family val="2"/>
      </rPr>
      <t xml:space="preserve">해당 수</t>
    </r>
    <r>
      <rPr>
        <sz val="9"/>
        <color rgb="FF595959"/>
        <rFont val="맑은 고딕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해당 지자체 수는 기본 </t>
    </r>
    <r>
      <rPr>
        <sz val="9"/>
        <color rgb="FF595959"/>
        <rFont val="맑은 고딕"/>
        <family val="0"/>
        <charset val="1"/>
      </rPr>
      <t xml:space="preserve">5(</t>
    </r>
    <r>
      <rPr>
        <sz val="9"/>
        <color rgb="FF595959"/>
        <rFont val="Noto Sans CJK SC"/>
        <family val="2"/>
      </rPr>
      <t xml:space="preserve">증평 등 적용 불가 시 줄임</t>
    </r>
    <r>
      <rPr>
        <sz val="9"/>
        <color rgb="FF595959"/>
        <rFont val="맑은 고딕"/>
        <family val="0"/>
        <charset val="1"/>
      </rPr>
      <t xml:space="preserve">), </t>
    </r>
    <r>
      <rPr>
        <sz val="9"/>
        <color rgb="FF595959"/>
        <rFont val="Noto Sans CJK SC"/>
        <family val="2"/>
      </rPr>
      <t xml:space="preserve">공급 공백은 ‘예</t>
    </r>
    <r>
      <rPr>
        <sz val="9"/>
        <color rgb="FF595959"/>
        <rFont val="맑은 고딕"/>
        <family val="0"/>
        <charset val="1"/>
      </rPr>
      <t xml:space="preserve">/</t>
    </r>
    <r>
      <rPr>
        <sz val="9"/>
        <color rgb="FF595959"/>
        <rFont val="Noto Sans CJK SC"/>
        <family val="2"/>
      </rPr>
      <t xml:space="preserve">아니오’</t>
    </r>
    <r>
      <rPr>
        <sz val="9"/>
        <color rgb="FF595959"/>
        <rFont val="맑은 고딕"/>
        <family val="0"/>
        <charset val="1"/>
      </rPr>
      <t xml:space="preserve">. </t>
    </r>
    <r>
      <rPr>
        <sz val="9"/>
        <color rgb="FF595959"/>
        <rFont val="Noto Sans CJK SC"/>
        <family val="2"/>
      </rPr>
      <t xml:space="preserve">첫 행은 예시값</t>
    </r>
    <r>
      <rPr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</si>
  <si>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0"/>
        <color rgb="FFFFFFFF"/>
        <rFont val="Noto Sans CJK SC"/>
        <family val="2"/>
      </rPr>
      <t xml:space="preserve">판정자</t>
    </r>
    <r>
      <rPr>
        <b val="true"/>
        <sz val="10"/>
        <color rgb="FFFFFFFF"/>
        <rFont val="맑은 고딕"/>
        <family val="0"/>
        <charset val="1"/>
      </rPr>
      <t xml:space="preserve">A </t>
    </r>
    <r>
      <rPr>
        <b val="true"/>
        <sz val="10"/>
        <color rgb="FFFFFFFF"/>
        <rFont val="Noto Sans CJK SC"/>
        <family val="2"/>
      </rPr>
      <t xml:space="preserve">타당</t>
    </r>
  </si>
  <si>
    <r>
      <rPr>
        <b val="true"/>
        <sz val="10"/>
        <color rgb="FFFFFFFF"/>
        <rFont val="Noto Sans CJK SC"/>
        <family val="2"/>
      </rPr>
      <t xml:space="preserve">판정자</t>
    </r>
    <r>
      <rPr>
        <b val="true"/>
        <sz val="10"/>
        <color rgb="FFFFFFFF"/>
        <rFont val="맑은 고딕"/>
        <family val="0"/>
        <charset val="1"/>
      </rPr>
      <t xml:space="preserve">B </t>
    </r>
    <r>
      <rPr>
        <b val="true"/>
        <sz val="10"/>
        <color rgb="FFFFFFFF"/>
        <rFont val="Noto Sans CJK SC"/>
        <family val="2"/>
      </rPr>
      <t xml:space="preserve">타당</t>
    </r>
  </si>
  <si>
    <t xml:space="preserve">채점 일치율</t>
  </si>
  <si>
    <r>
      <rPr>
        <b val="true"/>
        <sz val="10"/>
        <color rgb="FFFFFFFF"/>
        <rFont val="Noto Sans CJK SC"/>
        <family val="2"/>
      </rPr>
      <t xml:space="preserve">변동 횟수</t>
    </r>
    <r>
      <rPr>
        <b val="true"/>
        <sz val="10"/>
        <color rgb="FFFFFFFF"/>
        <rFont val="맑은 고딕"/>
        <family val="0"/>
        <charset val="1"/>
      </rPr>
      <t xml:space="preserve">(9</t>
    </r>
    <r>
      <rPr>
        <b val="true"/>
        <sz val="10"/>
        <color rgb="FFFFFFFF"/>
        <rFont val="Noto Sans CJK SC"/>
        <family val="2"/>
      </rPr>
      <t xml:space="preserve">회 중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</si>
  <si>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정답 지자체 수</t>
  </si>
  <si>
    <r>
      <rPr>
        <b val="true"/>
        <sz val="10"/>
        <color rgb="FFFFFFFF"/>
        <rFont val="Noto Sans CJK SC"/>
        <family val="2"/>
      </rPr>
      <t xml:space="preserve">해당 지자체 수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결측 제외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</si>
  <si>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공급 공백</t>
  </si>
  <si>
    <t xml:space="preserve">타당도</t>
  </si>
  <si>
    <t xml:space="preserve">신뢰도</t>
  </si>
  <si>
    <t xml:space="preserve">안정성</t>
  </si>
  <si>
    <t xml:space="preserve">변별력</t>
  </si>
  <si>
    <t xml:space="preserve">최종 판정</t>
  </si>
  <si>
    <t xml:space="preserve">적합</t>
  </si>
  <si>
    <t xml:space="preserve">아니오</t>
  </si>
  <si>
    <t xml:space="preserve">집계</t>
  </si>
  <si>
    <t xml:space="preserve">패널</t>
  </si>
  <si>
    <r>
      <rPr>
        <sz val="10"/>
        <rFont val="Noto Sans CJK SC"/>
        <family val="2"/>
      </rPr>
      <t xml:space="preserve">패널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불안정</t>
    </r>
    <r>
      <rPr>
        <sz val="10"/>
        <rFont val="맑은 고딕"/>
        <family val="0"/>
        <charset val="1"/>
      </rPr>
      <t xml:space="preserve">)</t>
    </r>
  </si>
  <si>
    <t xml:space="preserve">예비</t>
  </si>
  <si>
    <t xml:space="preserve">제외</t>
  </si>
  <si>
    <t xml:space="preserve">미판정</t>
  </si>
  <si>
    <t xml:space="preserve">패널 편입 템플릿의 후보 수 합계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</si>
</sst>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General"/>
    <numFmt numFmtId="167" formatCode="\$#,##0"/>
    <numFmt numFmtId="168" formatCode="\$0.00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맑은 고딕"/>
      <family val="0"/>
      <charset val="1"/>
    </font>
    <font>
      <sz val="9"/>
      <color rgb="FF595959"/>
      <name val="Noto Sans CJK SC"/>
      <family val="2"/>
    </font>
    <font>
      <sz val="9"/>
      <color rgb="FF595959"/>
      <name val="맑은 고딕"/>
      <family val="0"/>
      <charset val="1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맑은 고딕"/>
      <family val="0"/>
      <charset val="1"/>
    </font>
    <font>
      <sz val="10"/>
      <color rgb="FF0000FF"/>
      <name val="Noto Sans CJK SC"/>
      <family val="2"/>
    </font>
    <font>
      <sz val="10"/>
      <color rgb="FF0000FF"/>
      <name val="맑은 고딕"/>
      <family val="0"/>
      <charset val="1"/>
    </font>
    <font>
      <sz val="11"/>
      <color theme="1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FFFFFF"/>
      <name val="맑은 고딕"/>
      <family val="0"/>
      <charset val="1"/>
    </font>
    <font>
      <b val="true"/>
      <sz val="10"/>
      <name val="맑은 고딕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2" hidden="false" customHeight="true" outlineLevel="0" collapsed="false">
      <c r="A4" s="3" t="s">
        <v>2</v>
      </c>
      <c r="B4" s="4" t="s">
        <v>3</v>
      </c>
    </row>
    <row r="5" customFormat="false" ht="42" hidden="false" customHeight="true" outlineLevel="0" collapsed="false">
      <c r="A5" s="3" t="s">
        <v>4</v>
      </c>
      <c r="B5" s="4" t="s">
        <v>5</v>
      </c>
    </row>
    <row r="6" customFormat="false" ht="42" hidden="false" customHeight="true" outlineLevel="0" collapsed="false">
      <c r="A6" s="3" t="s">
        <v>6</v>
      </c>
      <c r="B6" s="4" t="s">
        <v>7</v>
      </c>
    </row>
    <row r="7" customFormat="false" ht="42" hidden="false" customHeight="true" outlineLevel="0" collapsed="false">
      <c r="A7" s="3" t="s">
        <v>8</v>
      </c>
      <c r="B7" s="4" t="s">
        <v>9</v>
      </c>
    </row>
    <row r="8" customFormat="false" ht="42" hidden="false" customHeight="true" outlineLevel="0" collapsed="false">
      <c r="A8" s="3" t="s">
        <v>10</v>
      </c>
      <c r="B8" s="4" t="s">
        <v>11</v>
      </c>
    </row>
    <row r="9" customFormat="false" ht="42" hidden="false" customHeight="true" outlineLevel="0" collapsed="false">
      <c r="A9" s="3" t="s">
        <v>12</v>
      </c>
      <c r="B9" s="4" t="s">
        <v>13</v>
      </c>
    </row>
    <row r="10" customFormat="false" ht="42" hidden="false" customHeight="true" outlineLevel="0" collapsed="false">
      <c r="A10" s="3" t="s">
        <v>14</v>
      </c>
      <c r="B10" s="4" t="s">
        <v>15</v>
      </c>
    </row>
    <row r="11" customFormat="false" ht="42" hidden="false" customHeight="true" outlineLevel="0" collapsed="false">
      <c r="A11" s="3" t="s">
        <v>16</v>
      </c>
      <c r="B11" s="4" t="s">
        <v>17</v>
      </c>
    </row>
    <row r="12" customFormat="false" ht="42" hidden="false" customHeight="true" outlineLevel="0" collapsed="false">
      <c r="A12" s="3" t="s">
        <v>18</v>
      </c>
      <c r="B12" s="4" t="s">
        <v>19</v>
      </c>
    </row>
    <row r="14" customFormat="false" ht="15" hidden="false" customHeight="false" outlineLevel="0" collapsed="false">
      <c r="A14" s="3" t="s">
        <v>20</v>
      </c>
    </row>
    <row r="15" customFormat="false" ht="15" hidden="false" customHeight="false" outlineLevel="0" collapsed="false">
      <c r="A15" s="5" t="s">
        <v>21</v>
      </c>
    </row>
    <row r="16" customFormat="false" ht="15" hidden="false" customHeight="false" outlineLevel="0" collapsed="false">
      <c r="A16" s="6" t="s">
        <v>22</v>
      </c>
    </row>
    <row r="17" customFormat="false" ht="15" hidden="false" customHeight="false" outlineLevel="0" collapsed="false">
      <c r="A17" s="7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8" min="5" style="0" width="10"/>
    <col collapsed="false" customWidth="true" hidden="false" outlineLevel="0" max="10" min="9" style="0" width="11"/>
    <col collapsed="false" customWidth="true" hidden="false" outlineLevel="0" max="11" min="11" style="0" width="14"/>
  </cols>
  <sheetData>
    <row r="1" customFormat="false" ht="21.6" hidden="false" customHeight="false" outlineLevel="0" collapsed="false">
      <c r="A1" s="1" t="s">
        <v>24</v>
      </c>
    </row>
    <row r="2" customFormat="false" ht="15" hidden="false" customHeight="false" outlineLevel="0" collapsed="false">
      <c r="A2" s="2" t="s">
        <v>25</v>
      </c>
    </row>
    <row r="4" customFormat="false" ht="30" hidden="false" customHeight="true" outlineLevel="0" collapsed="false">
      <c r="A4" s="8" t="s">
        <v>26</v>
      </c>
      <c r="B4" s="8" t="s">
        <v>27</v>
      </c>
      <c r="C4" s="8" t="s">
        <v>28</v>
      </c>
      <c r="D4" s="8" t="s">
        <v>29</v>
      </c>
      <c r="E4" s="8" t="s">
        <v>30</v>
      </c>
      <c r="F4" s="8" t="s">
        <v>31</v>
      </c>
      <c r="G4" s="8" t="s">
        <v>32</v>
      </c>
      <c r="H4" s="8" t="s">
        <v>33</v>
      </c>
      <c r="I4" s="8" t="s">
        <v>34</v>
      </c>
      <c r="J4" s="8" t="s">
        <v>35</v>
      </c>
      <c r="K4" s="8" t="s">
        <v>36</v>
      </c>
    </row>
    <row r="5" customFormat="false" ht="15" hidden="false" customHeight="false" outlineLevel="0" collapsed="false">
      <c r="A5" s="9" t="s">
        <v>37</v>
      </c>
      <c r="B5" s="10" t="s">
        <v>38</v>
      </c>
      <c r="C5" s="11" t="n">
        <v>50</v>
      </c>
      <c r="D5" s="10" t="n">
        <f aca="false">E5+F5+G5</f>
        <v>52</v>
      </c>
      <c r="E5" s="10" t="n">
        <f aca="false">SUMIFS('템플릿 문항'!$I:$I,'템플릿 문항'!$C:$C,$A5,'템플릿 문항'!$H:$H,"고")</f>
        <v>3</v>
      </c>
      <c r="F5" s="10" t="n">
        <f aca="false">SUMIFS('템플릿 문항'!$I:$I,'템플릿 문항'!$C:$C,$A5,'템플릿 문항'!$H:$H,"중")</f>
        <v>21</v>
      </c>
      <c r="G5" s="10" t="n">
        <f aca="false">SUMIFS('템플릿 문항'!$I:$I,'템플릿 문항'!$C:$C,$A5,'템플릿 문항'!$H:$H,"저")</f>
        <v>28</v>
      </c>
      <c r="H5" s="10" t="n">
        <f aca="false">COUNTIF('템플릿 문항'!$C:$C,$A5)</f>
        <v>25</v>
      </c>
      <c r="I5" s="11" t="n">
        <v>14</v>
      </c>
      <c r="J5" s="12" t="n">
        <f aca="false">IF(D5=0,0,E5/D5)</f>
        <v>0.0576923076923077</v>
      </c>
      <c r="K5" s="10" t="n">
        <f aca="false">D5-C5</f>
        <v>2</v>
      </c>
    </row>
    <row r="6" customFormat="false" ht="15" hidden="false" customHeight="false" outlineLevel="0" collapsed="false">
      <c r="A6" s="9" t="s">
        <v>39</v>
      </c>
      <c r="B6" s="10" t="s">
        <v>40</v>
      </c>
      <c r="C6" s="11" t="n">
        <v>50</v>
      </c>
      <c r="D6" s="10" t="n">
        <f aca="false">E6+F6+G6</f>
        <v>80</v>
      </c>
      <c r="E6" s="10" t="n">
        <f aca="false">SUMIFS('템플릿 문항'!$I:$I,'템플릿 문항'!$C:$C,$A6,'템플릿 문항'!$H:$H,"고")</f>
        <v>1</v>
      </c>
      <c r="F6" s="10" t="n">
        <f aca="false">SUMIFS('템플릿 문항'!$I:$I,'템플릿 문항'!$C:$C,$A6,'템플릿 문항'!$H:$H,"중")</f>
        <v>55</v>
      </c>
      <c r="G6" s="10" t="n">
        <f aca="false">SUMIFS('템플릿 문항'!$I:$I,'템플릿 문항'!$C:$C,$A6,'템플릿 문항'!$H:$H,"저")</f>
        <v>24</v>
      </c>
      <c r="H6" s="10" t="n">
        <f aca="false">COUNTIF('템플릿 문항'!$C:$C,$A6)</f>
        <v>27</v>
      </c>
      <c r="I6" s="11" t="n">
        <v>14</v>
      </c>
      <c r="J6" s="12" t="n">
        <f aca="false">IF(D6=0,0,E6/D6)</f>
        <v>0.0125</v>
      </c>
      <c r="K6" s="10" t="n">
        <f aca="false">D6-C6</f>
        <v>30</v>
      </c>
    </row>
    <row r="7" customFormat="false" ht="15" hidden="false" customHeight="false" outlineLevel="0" collapsed="false">
      <c r="A7" s="9" t="s">
        <v>41</v>
      </c>
      <c r="B7" s="10" t="s">
        <v>42</v>
      </c>
      <c r="C7" s="11" t="n">
        <v>50</v>
      </c>
      <c r="D7" s="10" t="n">
        <f aca="false">E7+F7+G7</f>
        <v>65</v>
      </c>
      <c r="E7" s="10" t="n">
        <f aca="false">SUMIFS('템플릿 문항'!$I:$I,'템플릿 문항'!$C:$C,$A7,'템플릿 문항'!$H:$H,"고")</f>
        <v>27</v>
      </c>
      <c r="F7" s="10" t="n">
        <f aca="false">SUMIFS('템플릿 문항'!$I:$I,'템플릿 문항'!$C:$C,$A7,'템플릿 문항'!$H:$H,"중")</f>
        <v>17</v>
      </c>
      <c r="G7" s="10" t="n">
        <f aca="false">SUMIFS('템플릿 문항'!$I:$I,'템플릿 문항'!$C:$C,$A7,'템플릿 문항'!$H:$H,"저")</f>
        <v>21</v>
      </c>
      <c r="H7" s="10" t="n">
        <f aca="false">COUNTIF('템플릿 문항'!$C:$C,$A7)</f>
        <v>28</v>
      </c>
      <c r="I7" s="11" t="n">
        <v>14</v>
      </c>
      <c r="J7" s="12" t="n">
        <f aca="false">IF(D7=0,0,E7/D7)</f>
        <v>0.415384615384615</v>
      </c>
      <c r="K7" s="10" t="n">
        <f aca="false">D7-C7</f>
        <v>15</v>
      </c>
    </row>
    <row r="8" customFormat="false" ht="15" hidden="false" customHeight="false" outlineLevel="0" collapsed="false">
      <c r="A8" s="9" t="s">
        <v>43</v>
      </c>
      <c r="B8" s="10" t="s">
        <v>44</v>
      </c>
      <c r="C8" s="11" t="n">
        <v>50</v>
      </c>
      <c r="D8" s="10" t="n">
        <f aca="false">E8+F8+G8</f>
        <v>82</v>
      </c>
      <c r="E8" s="10" t="n">
        <f aca="false">SUMIFS('템플릿 문항'!$I:$I,'템플릿 문항'!$C:$C,$A8,'템플릿 문항'!$H:$H,"고")</f>
        <v>59</v>
      </c>
      <c r="F8" s="10" t="n">
        <f aca="false">SUMIFS('템플릿 문항'!$I:$I,'템플릿 문항'!$C:$C,$A8,'템플릿 문항'!$H:$H,"중")</f>
        <v>23</v>
      </c>
      <c r="G8" s="10" t="n">
        <f aca="false">SUMIFS('템플릿 문항'!$I:$I,'템플릿 문항'!$C:$C,$A8,'템플릿 문항'!$H:$H,"저")</f>
        <v>0</v>
      </c>
      <c r="H8" s="10" t="n">
        <f aca="false">COUNTIF('템플릿 문항'!$C:$C,$A8)</f>
        <v>29</v>
      </c>
      <c r="I8" s="11" t="n">
        <v>14</v>
      </c>
      <c r="J8" s="12" t="n">
        <f aca="false">IF(D8=0,0,E8/D8)</f>
        <v>0.719512195121951</v>
      </c>
      <c r="K8" s="10" t="n">
        <f aca="false">D8-C8</f>
        <v>32</v>
      </c>
    </row>
    <row r="9" customFormat="false" ht="15" hidden="false" customHeight="false" outlineLevel="0" collapsed="false">
      <c r="A9" s="9" t="s">
        <v>45</v>
      </c>
      <c r="B9" s="10" t="s">
        <v>46</v>
      </c>
      <c r="C9" s="11" t="n">
        <v>50</v>
      </c>
      <c r="D9" s="10" t="n">
        <f aca="false">E9+F9+G9</f>
        <v>51</v>
      </c>
      <c r="E9" s="10" t="n">
        <f aca="false">SUMIFS('템플릿 문항'!$I:$I,'템플릿 문항'!$C:$C,$A9,'템플릿 문항'!$H:$H,"고")</f>
        <v>44</v>
      </c>
      <c r="F9" s="10" t="n">
        <f aca="false">SUMIFS('템플릿 문항'!$I:$I,'템플릿 문항'!$C:$C,$A9,'템플릿 문항'!$H:$H,"중")</f>
        <v>6</v>
      </c>
      <c r="G9" s="10" t="n">
        <f aca="false">SUMIFS('템플릿 문항'!$I:$I,'템플릿 문항'!$C:$C,$A9,'템플릿 문항'!$H:$H,"저")</f>
        <v>1</v>
      </c>
      <c r="H9" s="10" t="n">
        <f aca="false">COUNTIF('템플릿 문항'!$C:$C,$A9)</f>
        <v>26</v>
      </c>
      <c r="I9" s="11" t="n">
        <v>14</v>
      </c>
      <c r="J9" s="12" t="n">
        <f aca="false">IF(D9=0,0,E9/D9)</f>
        <v>0.862745098039216</v>
      </c>
      <c r="K9" s="10" t="n">
        <f aca="false">D9-C9</f>
        <v>1</v>
      </c>
    </row>
    <row r="10" customFormat="false" ht="15" hidden="false" customHeight="false" outlineLevel="0" collapsed="false">
      <c r="A10" s="9" t="s">
        <v>47</v>
      </c>
      <c r="B10" s="10" t="s">
        <v>48</v>
      </c>
      <c r="C10" s="11" t="n">
        <v>50</v>
      </c>
      <c r="D10" s="10" t="n">
        <f aca="false">E10+F10+G10</f>
        <v>51</v>
      </c>
      <c r="E10" s="10" t="n">
        <f aca="false">SUMIFS('템플릿 문항'!$I:$I,'템플릿 문항'!$C:$C,$A10,'템플릿 문항'!$H:$H,"고")</f>
        <v>12</v>
      </c>
      <c r="F10" s="10" t="n">
        <f aca="false">SUMIFS('템플릿 문항'!$I:$I,'템플릿 문항'!$C:$C,$A10,'템플릿 문항'!$H:$H,"중")</f>
        <v>36</v>
      </c>
      <c r="G10" s="10" t="n">
        <f aca="false">SUMIFS('템플릿 문항'!$I:$I,'템플릿 문항'!$C:$C,$A10,'템플릿 문항'!$H:$H,"저")</f>
        <v>3</v>
      </c>
      <c r="H10" s="10" t="n">
        <f aca="false">COUNTIF('템플릿 문항'!$C:$C,$A10)</f>
        <v>29</v>
      </c>
      <c r="I10" s="11" t="n">
        <v>12</v>
      </c>
      <c r="J10" s="12" t="n">
        <f aca="false">IF(D10=0,0,E10/D10)</f>
        <v>0.235294117647059</v>
      </c>
      <c r="K10" s="10" t="n">
        <f aca="false">D10-C10</f>
        <v>1</v>
      </c>
    </row>
    <row r="11" customFormat="false" ht="15" hidden="false" customHeight="false" outlineLevel="0" collapsed="false">
      <c r="A11" s="9" t="s">
        <v>49</v>
      </c>
      <c r="B11" s="10" t="s">
        <v>50</v>
      </c>
      <c r="C11" s="11" t="n">
        <v>50</v>
      </c>
      <c r="D11" s="10" t="n">
        <f aca="false">E11+F11+G11</f>
        <v>52</v>
      </c>
      <c r="E11" s="10" t="n">
        <f aca="false">SUMIFS('템플릿 문항'!$I:$I,'템플릿 문항'!$C:$C,$A11,'템플릿 문항'!$H:$H,"고")</f>
        <v>23</v>
      </c>
      <c r="F11" s="10" t="n">
        <f aca="false">SUMIFS('템플릿 문항'!$I:$I,'템플릿 문항'!$C:$C,$A11,'템플릿 문항'!$H:$H,"중")</f>
        <v>27</v>
      </c>
      <c r="G11" s="10" t="n">
        <f aca="false">SUMIFS('템플릿 문항'!$I:$I,'템플릿 문항'!$C:$C,$A11,'템플릿 문항'!$H:$H,"저")</f>
        <v>2</v>
      </c>
      <c r="H11" s="10" t="n">
        <f aca="false">COUNTIF('템플릿 문항'!$C:$C,$A11)</f>
        <v>26</v>
      </c>
      <c r="I11" s="11" t="n">
        <v>10</v>
      </c>
      <c r="J11" s="12" t="n">
        <f aca="false">IF(D11=0,0,E11/D11)</f>
        <v>0.442307692307692</v>
      </c>
      <c r="K11" s="10" t="n">
        <f aca="false">D11-C11</f>
        <v>2</v>
      </c>
    </row>
    <row r="12" customFormat="false" ht="15" hidden="false" customHeight="false" outlineLevel="0" collapsed="false">
      <c r="A12" s="9" t="s">
        <v>51</v>
      </c>
      <c r="B12" s="10" t="s">
        <v>52</v>
      </c>
      <c r="C12" s="11" t="n">
        <v>50</v>
      </c>
      <c r="D12" s="10" t="n">
        <f aca="false">E12+F12+G12</f>
        <v>55</v>
      </c>
      <c r="E12" s="10" t="n">
        <f aca="false">SUMIFS('템플릿 문항'!$I:$I,'템플릿 문항'!$C:$C,$A12,'템플릿 문항'!$H:$H,"고")</f>
        <v>2</v>
      </c>
      <c r="F12" s="10" t="n">
        <f aca="false">SUMIFS('템플릿 문항'!$I:$I,'템플릿 문항'!$C:$C,$A12,'템플릿 문항'!$H:$H,"중")</f>
        <v>39</v>
      </c>
      <c r="G12" s="10" t="n">
        <f aca="false">SUMIFS('템플릿 문항'!$I:$I,'템플릿 문항'!$C:$C,$A12,'템플릿 문항'!$H:$H,"저")</f>
        <v>14</v>
      </c>
      <c r="H12" s="10" t="n">
        <f aca="false">COUNTIF('템플릿 문항'!$C:$C,$A12)</f>
        <v>35</v>
      </c>
      <c r="I12" s="11" t="n">
        <v>10</v>
      </c>
      <c r="J12" s="12" t="n">
        <f aca="false">IF(D12=0,0,E12/D12)</f>
        <v>0.0363636363636364</v>
      </c>
      <c r="K12" s="10" t="n">
        <f aca="false">D12-C12</f>
        <v>5</v>
      </c>
    </row>
    <row r="13" customFormat="false" ht="15" hidden="false" customHeight="false" outlineLevel="0" collapsed="false">
      <c r="A13" s="9" t="s">
        <v>53</v>
      </c>
      <c r="B13" s="10" t="s">
        <v>54</v>
      </c>
      <c r="C13" s="11" t="n">
        <v>50</v>
      </c>
      <c r="D13" s="10" t="n">
        <f aca="false">E13+F13+G13</f>
        <v>53</v>
      </c>
      <c r="E13" s="10" t="n">
        <f aca="false">SUMIFS('템플릿 문항'!$I:$I,'템플릿 문항'!$C:$C,$A13,'템플릿 문항'!$H:$H,"고")</f>
        <v>0</v>
      </c>
      <c r="F13" s="10" t="n">
        <f aca="false">SUMIFS('템플릿 문항'!$I:$I,'템플릿 문항'!$C:$C,$A13,'템플릿 문항'!$H:$H,"중")</f>
        <v>0</v>
      </c>
      <c r="G13" s="10" t="n">
        <f aca="false">SUMIFS('템플릿 문항'!$I:$I,'템플릿 문항'!$C:$C,$A13,'템플릿 문항'!$H:$H,"저")</f>
        <v>53</v>
      </c>
      <c r="H13" s="10" t="n">
        <f aca="false">COUNTIF('템플릿 문항'!$C:$C,$A13)</f>
        <v>28</v>
      </c>
      <c r="I13" s="11" t="n">
        <v>8</v>
      </c>
      <c r="J13" s="12" t="n">
        <f aca="false">IF(D13=0,0,E13/D13)</f>
        <v>0</v>
      </c>
      <c r="K13" s="10" t="n">
        <f aca="false">D13-C13</f>
        <v>3</v>
      </c>
    </row>
    <row r="14" customFormat="false" ht="15" hidden="false" customHeight="false" outlineLevel="0" collapsed="false">
      <c r="A14" s="9" t="s">
        <v>55</v>
      </c>
      <c r="B14" s="10" t="s">
        <v>56</v>
      </c>
      <c r="C14" s="11" t="n">
        <v>50</v>
      </c>
      <c r="D14" s="10" t="n">
        <f aca="false">E14+F14+G14</f>
        <v>51</v>
      </c>
      <c r="E14" s="10" t="n">
        <f aca="false">SUMIFS('템플릿 문항'!$I:$I,'템플릿 문항'!$C:$C,$A14,'템플릿 문항'!$H:$H,"고")</f>
        <v>24</v>
      </c>
      <c r="F14" s="10" t="n">
        <f aca="false">SUMIFS('템플릿 문항'!$I:$I,'템플릿 문항'!$C:$C,$A14,'템플릿 문항'!$H:$H,"중")</f>
        <v>24</v>
      </c>
      <c r="G14" s="10" t="n">
        <f aca="false">SUMIFS('템플릿 문항'!$I:$I,'템플릿 문항'!$C:$C,$A14,'템플릿 문항'!$H:$H,"저")</f>
        <v>3</v>
      </c>
      <c r="H14" s="10" t="n">
        <f aca="false">COUNTIF('템플릿 문항'!$C:$C,$A14)</f>
        <v>39</v>
      </c>
      <c r="I14" s="11" t="n">
        <v>10</v>
      </c>
      <c r="J14" s="12" t="n">
        <f aca="false">IF(D14=0,0,E14/D14)</f>
        <v>0.470588235294118</v>
      </c>
      <c r="K14" s="10" t="n">
        <f aca="false">D14-C14</f>
        <v>1</v>
      </c>
    </row>
    <row r="15" customFormat="false" ht="15" hidden="false" customHeight="false" outlineLevel="0" collapsed="false">
      <c r="A15" s="9" t="s">
        <v>57</v>
      </c>
      <c r="B15" s="10" t="s">
        <v>58</v>
      </c>
      <c r="C15" s="11" t="n">
        <v>50</v>
      </c>
      <c r="D15" s="10" t="n">
        <f aca="false">E15+F15+G15</f>
        <v>51</v>
      </c>
      <c r="E15" s="10" t="n">
        <f aca="false">SUMIFS('템플릿 문항'!$I:$I,'템플릿 문항'!$C:$C,$A15,'템플릿 문항'!$H:$H,"고")</f>
        <v>0</v>
      </c>
      <c r="F15" s="10" t="n">
        <f aca="false">SUMIFS('템플릿 문항'!$I:$I,'템플릿 문항'!$C:$C,$A15,'템플릿 문항'!$H:$H,"중")</f>
        <v>33</v>
      </c>
      <c r="G15" s="10" t="n">
        <f aca="false">SUMIFS('템플릿 문항'!$I:$I,'템플릿 문항'!$C:$C,$A15,'템플릿 문항'!$H:$H,"저")</f>
        <v>18</v>
      </c>
      <c r="H15" s="10" t="n">
        <f aca="false">COUNTIF('템플릿 문항'!$C:$C,$A15)</f>
        <v>36</v>
      </c>
      <c r="I15" s="11" t="n">
        <v>10</v>
      </c>
      <c r="J15" s="12" t="n">
        <f aca="false">IF(D15=0,0,E15/D15)</f>
        <v>0</v>
      </c>
      <c r="K15" s="10" t="n">
        <f aca="false">D15-C15</f>
        <v>1</v>
      </c>
    </row>
    <row r="16" customFormat="false" ht="15" hidden="false" customHeight="false" outlineLevel="0" collapsed="false">
      <c r="A16" s="9" t="s">
        <v>59</v>
      </c>
      <c r="B16" s="10" t="s">
        <v>60</v>
      </c>
      <c r="C16" s="11" t="n">
        <v>50</v>
      </c>
      <c r="D16" s="10" t="n">
        <f aca="false">E16+F16+G16</f>
        <v>51</v>
      </c>
      <c r="E16" s="10" t="n">
        <f aca="false">SUMIFS('템플릿 문항'!$I:$I,'템플릿 문항'!$C:$C,$A16,'템플릿 문항'!$H:$H,"고")</f>
        <v>3</v>
      </c>
      <c r="F16" s="10" t="n">
        <f aca="false">SUMIFS('템플릿 문항'!$I:$I,'템플릿 문항'!$C:$C,$A16,'템플릿 문항'!$H:$H,"중")</f>
        <v>39</v>
      </c>
      <c r="G16" s="10" t="n">
        <f aca="false">SUMIFS('템플릿 문항'!$I:$I,'템플릿 문항'!$C:$C,$A16,'템플릿 문항'!$H:$H,"저")</f>
        <v>9</v>
      </c>
      <c r="H16" s="10" t="n">
        <f aca="false">COUNTIF('템플릿 문항'!$C:$C,$A16)</f>
        <v>29</v>
      </c>
      <c r="I16" s="11" t="n">
        <v>10</v>
      </c>
      <c r="J16" s="12" t="n">
        <f aca="false">IF(D16=0,0,E16/D16)</f>
        <v>0.0588235294117647</v>
      </c>
      <c r="K16" s="10" t="n">
        <f aca="false">D16-C16</f>
        <v>1</v>
      </c>
    </row>
    <row r="17" customFormat="false" ht="15" hidden="false" customHeight="false" outlineLevel="0" collapsed="false">
      <c r="A17" s="13" t="s">
        <v>61</v>
      </c>
      <c r="B17" s="13"/>
      <c r="C17" s="13" t="n">
        <f aca="false">SUM(C5:C16)</f>
        <v>600</v>
      </c>
      <c r="D17" s="13" t="n">
        <f aca="false">SUM(D5:D16)</f>
        <v>694</v>
      </c>
      <c r="E17" s="13" t="n">
        <f aca="false">SUM(E5:E16)</f>
        <v>198</v>
      </c>
      <c r="F17" s="13" t="n">
        <f aca="false">SUM(F5:F16)</f>
        <v>320</v>
      </c>
      <c r="G17" s="13" t="n">
        <f aca="false">SUM(G5:G16)</f>
        <v>176</v>
      </c>
      <c r="H17" s="13" t="n">
        <f aca="false">SUM(H5:H16)</f>
        <v>357</v>
      </c>
      <c r="I17" s="13" t="n">
        <f aca="false">SUM(I5:I16)</f>
        <v>140</v>
      </c>
      <c r="J17" s="14" t="n">
        <f aca="false">IF(D17=0,0,E17/D17)</f>
        <v>0.285302593659942</v>
      </c>
      <c r="K17" s="13" t="n">
        <f aca="false">D17-C17</f>
        <v>94</v>
      </c>
    </row>
    <row r="19" customFormat="false" ht="15" hidden="false" customHeight="false" outlineLevel="0" collapsed="false">
      <c r="A19" s="3" t="s">
        <v>62</v>
      </c>
    </row>
    <row r="20" customFormat="false" ht="15" hidden="false" customHeight="false" outlineLevel="0" collapsed="false">
      <c r="A20" s="7" t="s">
        <v>63</v>
      </c>
      <c r="D20" s="3" t="str">
        <f aca="false">IF(C17=600,"예","아니오")</f>
        <v>예</v>
      </c>
    </row>
    <row r="21" customFormat="false" ht="15" hidden="false" customHeight="false" outlineLevel="0" collapsed="false">
      <c r="A21" s="7" t="s">
        <v>64</v>
      </c>
      <c r="D21" s="3" t="str">
        <f aca="false">IF(I17=140,"예","아니오")</f>
        <v>예</v>
      </c>
    </row>
    <row r="22" customFormat="false" ht="15" hidden="false" customHeight="false" outlineLevel="0" collapsed="false">
      <c r="A22" s="7" t="s">
        <v>65</v>
      </c>
      <c r="D22" s="3" t="str">
        <f aca="false">IF(D17&gt;=600,"예","아니오")</f>
        <v>예</v>
      </c>
    </row>
    <row r="23" customFormat="false" ht="15" hidden="false" customHeight="false" outlineLevel="0" collapsed="false">
      <c r="A23" s="7" t="s">
        <v>66</v>
      </c>
      <c r="D23" s="3" t="str">
        <f aca="false">IF(J17&gt;=0.25,"예","아니오")</f>
        <v>예</v>
      </c>
    </row>
    <row r="25" customFormat="false" ht="15" hidden="false" customHeight="false" outlineLevel="0" collapsed="false">
      <c r="A25" s="3" t="s">
        <v>67</v>
      </c>
    </row>
    <row r="26" customFormat="false" ht="15" hidden="false" customHeight="false" outlineLevel="0" collapsed="false">
      <c r="A26" s="7" t="s">
        <v>68</v>
      </c>
    </row>
    <row r="27" customFormat="false" ht="15" hidden="false" customHeight="false" outlineLevel="0" collapsed="false">
      <c r="A27" s="7" t="s">
        <v>69</v>
      </c>
    </row>
    <row r="28" customFormat="false" ht="15" hidden="false" customHeight="false" outlineLevel="0" collapsed="false">
      <c r="A28" s="7" t="s">
        <v>70</v>
      </c>
    </row>
    <row r="31" customFormat="false" ht="15" hidden="false" customHeight="false" outlineLevel="0" collapsed="false">
      <c r="A31" s="3" t="s">
        <v>71</v>
      </c>
    </row>
    <row r="32" customFormat="false" ht="30" hidden="false" customHeight="true" outlineLevel="0" collapsed="false">
      <c r="A32" s="8" t="s">
        <v>72</v>
      </c>
      <c r="B32" s="8"/>
      <c r="C32" s="8" t="s">
        <v>73</v>
      </c>
      <c r="D32" s="8" t="s">
        <v>74</v>
      </c>
    </row>
    <row r="33" customFormat="false" ht="15" hidden="false" customHeight="false" outlineLevel="0" collapsed="false">
      <c r="A33" s="10" t="s">
        <v>75</v>
      </c>
      <c r="B33" s="10"/>
      <c r="C33" s="10" t="n">
        <f aca="false">SUMIFS('템플릿 문항'!$I:$I,'템플릿 문항'!$G:$G,A33)</f>
        <v>136</v>
      </c>
      <c r="D33" s="12" t="n">
        <f aca="false">IF($D$17=0,0,C33/$D$17)</f>
        <v>0.195965417867435</v>
      </c>
    </row>
    <row r="34" customFormat="false" ht="15" hidden="false" customHeight="false" outlineLevel="0" collapsed="false">
      <c r="A34" s="10" t="s">
        <v>76</v>
      </c>
      <c r="B34" s="10"/>
      <c r="C34" s="10" t="n">
        <f aca="false">SUMIFS('템플릿 문항'!$I:$I,'템플릿 문항'!$G:$G,A34)</f>
        <v>123</v>
      </c>
      <c r="D34" s="12" t="n">
        <f aca="false">IF($D$17=0,0,C34/$D$17)</f>
        <v>0.177233429394813</v>
      </c>
    </row>
    <row r="35" customFormat="false" ht="15" hidden="false" customHeight="false" outlineLevel="0" collapsed="false">
      <c r="A35" s="10" t="s">
        <v>77</v>
      </c>
      <c r="B35" s="10"/>
      <c r="C35" s="10" t="n">
        <f aca="false">SUMIFS('템플릿 문항'!$I:$I,'템플릿 문항'!$G:$G,A35)</f>
        <v>253</v>
      </c>
      <c r="D35" s="12" t="n">
        <f aca="false">IF($D$17=0,0,C35/$D$17)</f>
        <v>0.364553314121038</v>
      </c>
    </row>
    <row r="36" customFormat="false" ht="15" hidden="false" customHeight="false" outlineLevel="0" collapsed="false">
      <c r="A36" s="10" t="s">
        <v>78</v>
      </c>
      <c r="B36" s="10"/>
      <c r="C36" s="10" t="n">
        <f aca="false">SUMIFS('템플릿 문항'!$I:$I,'템플릿 문항'!$G:$G,A36)</f>
        <v>66</v>
      </c>
      <c r="D36" s="12" t="n">
        <f aca="false">IF($D$17=0,0,C36/$D$17)</f>
        <v>0.0951008645533141</v>
      </c>
    </row>
    <row r="37" customFormat="false" ht="15" hidden="false" customHeight="false" outlineLevel="0" collapsed="false">
      <c r="A37" s="10" t="s">
        <v>79</v>
      </c>
      <c r="B37" s="10"/>
      <c r="C37" s="10" t="n">
        <f aca="false">SUMIFS('템플릿 문항'!$I:$I,'템플릿 문항'!$G:$G,A37)</f>
        <v>116</v>
      </c>
      <c r="D37" s="12" t="n">
        <f aca="false">IF($D$17=0,0,C37/$D$17)</f>
        <v>0.167146974063401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28"/>
    <col collapsed="false" customWidth="true" hidden="false" outlineLevel="0" max="6" min="6" style="0" width="9"/>
    <col collapsed="false" customWidth="true" hidden="false" outlineLevel="0" max="7" min="7" style="0" width="34"/>
    <col collapsed="false" customWidth="true" hidden="false" outlineLevel="0" max="8" min="8" style="0" width="24"/>
    <col collapsed="false" customWidth="true" hidden="false" outlineLevel="0" max="10" min="9" style="0" width="9"/>
  </cols>
  <sheetData>
    <row r="1" customFormat="false" ht="21.6" hidden="false" customHeight="false" outlineLevel="0" collapsed="false">
      <c r="A1" s="1" t="s">
        <v>80</v>
      </c>
    </row>
    <row r="3" customFormat="false" ht="30" hidden="false" customHeight="true" outlineLevel="0" collapsed="false">
      <c r="A3" s="8" t="s">
        <v>81</v>
      </c>
      <c r="B3" s="8" t="s">
        <v>26</v>
      </c>
      <c r="C3" s="8" t="s">
        <v>27</v>
      </c>
      <c r="D3" s="8" t="s">
        <v>82</v>
      </c>
      <c r="E3" s="8" t="s">
        <v>83</v>
      </c>
      <c r="F3" s="8" t="s">
        <v>84</v>
      </c>
      <c r="G3" s="8" t="s">
        <v>85</v>
      </c>
      <c r="H3" s="8" t="s">
        <v>86</v>
      </c>
      <c r="I3" s="8" t="s">
        <v>33</v>
      </c>
      <c r="J3" s="8" t="s">
        <v>87</v>
      </c>
    </row>
    <row r="4" customFormat="false" ht="15" hidden="false" customHeight="false" outlineLevel="0" collapsed="false">
      <c r="A4" s="9" t="s">
        <v>88</v>
      </c>
      <c r="B4" s="9" t="s">
        <v>37</v>
      </c>
      <c r="C4" s="10" t="s">
        <v>38</v>
      </c>
      <c r="D4" s="10" t="s">
        <v>89</v>
      </c>
      <c r="E4" s="10" t="s">
        <v>90</v>
      </c>
      <c r="F4" s="10" t="s">
        <v>91</v>
      </c>
      <c r="G4" s="10" t="s">
        <v>92</v>
      </c>
      <c r="H4" s="10" t="s">
        <v>93</v>
      </c>
      <c r="I4" s="10" t="n">
        <f aca="false">COUNTIF('템플릿 문항'!$D:$D,A4)</f>
        <v>7</v>
      </c>
      <c r="J4" s="10" t="n">
        <f aca="false">SUMIF('템플릿 문항'!$D:$D,A4,'템플릿 문항'!$I:$I)</f>
        <v>16</v>
      </c>
    </row>
    <row r="5" customFormat="false" ht="15" hidden="false" customHeight="false" outlineLevel="0" collapsed="false">
      <c r="A5" s="9" t="s">
        <v>94</v>
      </c>
      <c r="B5" s="9" t="s">
        <v>37</v>
      </c>
      <c r="C5" s="10" t="s">
        <v>38</v>
      </c>
      <c r="D5" s="10" t="s">
        <v>95</v>
      </c>
      <c r="E5" s="10" t="s">
        <v>96</v>
      </c>
      <c r="F5" s="10" t="s">
        <v>97</v>
      </c>
      <c r="G5" s="10" t="s">
        <v>98</v>
      </c>
      <c r="H5" s="10" t="s">
        <v>99</v>
      </c>
      <c r="I5" s="10" t="n">
        <f aca="false">COUNTIF('템플릿 문항'!$D:$D,A5)</f>
        <v>6</v>
      </c>
      <c r="J5" s="10" t="n">
        <f aca="false">SUMIF('템플릿 문항'!$D:$D,A5,'템플릿 문항'!$I:$I)</f>
        <v>22</v>
      </c>
    </row>
    <row r="6" customFormat="false" ht="15" hidden="false" customHeight="false" outlineLevel="0" collapsed="false">
      <c r="A6" s="9" t="s">
        <v>100</v>
      </c>
      <c r="B6" s="9" t="s">
        <v>37</v>
      </c>
      <c r="C6" s="10" t="s">
        <v>38</v>
      </c>
      <c r="D6" s="10" t="s">
        <v>101</v>
      </c>
      <c r="E6" s="10" t="s">
        <v>102</v>
      </c>
      <c r="F6" s="10" t="s">
        <v>91</v>
      </c>
      <c r="G6" s="10" t="s">
        <v>103</v>
      </c>
      <c r="H6" s="10" t="s">
        <v>99</v>
      </c>
      <c r="I6" s="10" t="n">
        <f aca="false">COUNTIF('템플릿 문항'!$D:$D,A6)</f>
        <v>5</v>
      </c>
      <c r="J6" s="10" t="n">
        <f aca="false">SUMIF('템플릿 문항'!$D:$D,A6,'템플릿 문항'!$I:$I)</f>
        <v>5</v>
      </c>
    </row>
    <row r="7" customFormat="false" ht="15" hidden="false" customHeight="false" outlineLevel="0" collapsed="false">
      <c r="A7" s="9" t="s">
        <v>104</v>
      </c>
      <c r="B7" s="9" t="s">
        <v>37</v>
      </c>
      <c r="C7" s="10" t="s">
        <v>38</v>
      </c>
      <c r="D7" s="10" t="s">
        <v>105</v>
      </c>
      <c r="E7" s="10" t="s">
        <v>106</v>
      </c>
      <c r="F7" s="10" t="s">
        <v>91</v>
      </c>
      <c r="G7" s="10" t="s">
        <v>107</v>
      </c>
      <c r="H7" s="10" t="s">
        <v>108</v>
      </c>
      <c r="I7" s="10" t="n">
        <f aca="false">COUNTIF('템플릿 문항'!$D:$D,A7)</f>
        <v>7</v>
      </c>
      <c r="J7" s="10" t="n">
        <f aca="false">SUMIF('템플릿 문항'!$D:$D,A7,'템플릿 문항'!$I:$I)</f>
        <v>9</v>
      </c>
    </row>
    <row r="8" customFormat="false" ht="15" hidden="false" customHeight="false" outlineLevel="0" collapsed="false">
      <c r="A8" s="9" t="s">
        <v>109</v>
      </c>
      <c r="B8" s="9" t="s">
        <v>39</v>
      </c>
      <c r="C8" s="10" t="s">
        <v>40</v>
      </c>
      <c r="D8" s="10" t="s">
        <v>110</v>
      </c>
      <c r="E8" s="10" t="s">
        <v>111</v>
      </c>
      <c r="F8" s="10" t="s">
        <v>91</v>
      </c>
      <c r="G8" s="10" t="s">
        <v>112</v>
      </c>
      <c r="H8" s="10" t="s">
        <v>113</v>
      </c>
      <c r="I8" s="10" t="n">
        <f aca="false">COUNTIF('템플릿 문항'!$D:$D,A8)</f>
        <v>7</v>
      </c>
      <c r="J8" s="10" t="n">
        <f aca="false">SUMIF('템플릿 문항'!$D:$D,A8,'템플릿 문항'!$I:$I)</f>
        <v>28</v>
      </c>
    </row>
    <row r="9" customFormat="false" ht="15" hidden="false" customHeight="false" outlineLevel="0" collapsed="false">
      <c r="A9" s="9" t="s">
        <v>114</v>
      </c>
      <c r="B9" s="9" t="s">
        <v>39</v>
      </c>
      <c r="C9" s="10" t="s">
        <v>40</v>
      </c>
      <c r="D9" s="10" t="s">
        <v>115</v>
      </c>
      <c r="E9" s="10" t="s">
        <v>116</v>
      </c>
      <c r="F9" s="10" t="s">
        <v>91</v>
      </c>
      <c r="G9" s="10" t="s">
        <v>117</v>
      </c>
      <c r="H9" s="10" t="s">
        <v>118</v>
      </c>
      <c r="I9" s="10" t="n">
        <f aca="false">COUNTIF('템플릿 문항'!$D:$D,A9)</f>
        <v>8</v>
      </c>
      <c r="J9" s="10" t="n">
        <f aca="false">SUMIF('템플릿 문항'!$D:$D,A9,'템플릿 문항'!$I:$I)</f>
        <v>29</v>
      </c>
    </row>
    <row r="10" customFormat="false" ht="15" hidden="false" customHeight="false" outlineLevel="0" collapsed="false">
      <c r="A10" s="9" t="s">
        <v>119</v>
      </c>
      <c r="B10" s="9" t="s">
        <v>39</v>
      </c>
      <c r="C10" s="10" t="s">
        <v>40</v>
      </c>
      <c r="D10" s="10" t="s">
        <v>120</v>
      </c>
      <c r="E10" s="10" t="s">
        <v>121</v>
      </c>
      <c r="F10" s="10" t="s">
        <v>91</v>
      </c>
      <c r="G10" s="10" t="s">
        <v>122</v>
      </c>
      <c r="H10" s="10" t="s">
        <v>123</v>
      </c>
      <c r="I10" s="10" t="n">
        <f aca="false">COUNTIF('템플릿 문항'!$D:$D,A10)</f>
        <v>6</v>
      </c>
      <c r="J10" s="10" t="n">
        <f aca="false">SUMIF('템플릿 문항'!$D:$D,A10,'템플릿 문항'!$I:$I)</f>
        <v>14</v>
      </c>
    </row>
    <row r="11" customFormat="false" ht="15" hidden="false" customHeight="false" outlineLevel="0" collapsed="false">
      <c r="A11" s="9" t="s">
        <v>124</v>
      </c>
      <c r="B11" s="9" t="s">
        <v>39</v>
      </c>
      <c r="C11" s="10" t="s">
        <v>40</v>
      </c>
      <c r="D11" s="10" t="s">
        <v>125</v>
      </c>
      <c r="E11" s="10" t="s">
        <v>121</v>
      </c>
      <c r="F11" s="10" t="s">
        <v>97</v>
      </c>
      <c r="G11" s="10" t="s">
        <v>126</v>
      </c>
      <c r="H11" s="10" t="s">
        <v>127</v>
      </c>
      <c r="I11" s="10" t="n">
        <f aca="false">COUNTIF('템플릿 문항'!$D:$D,A11)</f>
        <v>6</v>
      </c>
      <c r="J11" s="10" t="n">
        <f aca="false">SUMIF('템플릿 문항'!$D:$D,A11,'템플릿 문항'!$I:$I)</f>
        <v>9</v>
      </c>
    </row>
    <row r="12" customFormat="false" ht="15" hidden="false" customHeight="false" outlineLevel="0" collapsed="false">
      <c r="A12" s="9" t="s">
        <v>128</v>
      </c>
      <c r="B12" s="9" t="s">
        <v>41</v>
      </c>
      <c r="C12" s="10" t="s">
        <v>42</v>
      </c>
      <c r="D12" s="10" t="s">
        <v>129</v>
      </c>
      <c r="E12" s="10" t="s">
        <v>130</v>
      </c>
      <c r="F12" s="10" t="s">
        <v>131</v>
      </c>
      <c r="G12" s="10" t="s">
        <v>132</v>
      </c>
      <c r="H12" s="10" t="s">
        <v>133</v>
      </c>
      <c r="I12" s="10" t="n">
        <f aca="false">COUNTIF('템플릿 문항'!$D:$D,A12)</f>
        <v>9</v>
      </c>
      <c r="J12" s="10" t="n">
        <f aca="false">SUMIF('템플릿 문항'!$D:$D,A12,'템플릿 문항'!$I:$I)</f>
        <v>23</v>
      </c>
    </row>
    <row r="13" customFormat="false" ht="15" hidden="false" customHeight="false" outlineLevel="0" collapsed="false">
      <c r="A13" s="9" t="s">
        <v>134</v>
      </c>
      <c r="B13" s="9" t="s">
        <v>41</v>
      </c>
      <c r="C13" s="10" t="s">
        <v>42</v>
      </c>
      <c r="D13" s="10" t="s">
        <v>135</v>
      </c>
      <c r="E13" s="10" t="s">
        <v>136</v>
      </c>
      <c r="F13" s="10" t="s">
        <v>91</v>
      </c>
      <c r="G13" s="10" t="s">
        <v>137</v>
      </c>
      <c r="H13" s="10" t="s">
        <v>138</v>
      </c>
      <c r="I13" s="10" t="n">
        <f aca="false">COUNTIF('템플릿 문항'!$D:$D,A13)</f>
        <v>6</v>
      </c>
      <c r="J13" s="10" t="n">
        <f aca="false">SUMIF('템플릿 문항'!$D:$D,A13,'템플릿 문항'!$I:$I)</f>
        <v>15</v>
      </c>
    </row>
    <row r="14" customFormat="false" ht="15" hidden="false" customHeight="false" outlineLevel="0" collapsed="false">
      <c r="A14" s="9" t="s">
        <v>139</v>
      </c>
      <c r="B14" s="9" t="s">
        <v>41</v>
      </c>
      <c r="C14" s="10" t="s">
        <v>42</v>
      </c>
      <c r="D14" s="10" t="s">
        <v>140</v>
      </c>
      <c r="E14" s="10" t="s">
        <v>136</v>
      </c>
      <c r="F14" s="10" t="s">
        <v>97</v>
      </c>
      <c r="G14" s="10" t="s">
        <v>141</v>
      </c>
      <c r="H14" s="10" t="s">
        <v>142</v>
      </c>
      <c r="I14" s="10" t="n">
        <f aca="false">COUNTIF('템플릿 문항'!$D:$D,A14)</f>
        <v>7</v>
      </c>
      <c r="J14" s="10" t="n">
        <f aca="false">SUMIF('템플릿 문항'!$D:$D,A14,'템플릿 문항'!$I:$I)</f>
        <v>21</v>
      </c>
    </row>
    <row r="15" customFormat="false" ht="15" hidden="false" customHeight="false" outlineLevel="0" collapsed="false">
      <c r="A15" s="9" t="s">
        <v>143</v>
      </c>
      <c r="B15" s="9" t="s">
        <v>41</v>
      </c>
      <c r="C15" s="10" t="s">
        <v>42</v>
      </c>
      <c r="D15" s="10" t="s">
        <v>144</v>
      </c>
      <c r="E15" s="10" t="s">
        <v>145</v>
      </c>
      <c r="F15" s="10" t="s">
        <v>131</v>
      </c>
      <c r="G15" s="10" t="s">
        <v>146</v>
      </c>
      <c r="H15" s="10" t="s">
        <v>147</v>
      </c>
      <c r="I15" s="10" t="n">
        <f aca="false">COUNTIF('템플릿 문항'!$D:$D,A15)</f>
        <v>6</v>
      </c>
      <c r="J15" s="10" t="n">
        <f aca="false">SUMIF('템플릿 문항'!$D:$D,A15,'템플릿 문항'!$I:$I)</f>
        <v>6</v>
      </c>
    </row>
    <row r="16" customFormat="false" ht="15" hidden="false" customHeight="false" outlineLevel="0" collapsed="false">
      <c r="A16" s="9" t="s">
        <v>148</v>
      </c>
      <c r="B16" s="9" t="s">
        <v>43</v>
      </c>
      <c r="C16" s="10" t="s">
        <v>44</v>
      </c>
      <c r="D16" s="10" t="s">
        <v>149</v>
      </c>
      <c r="E16" s="10" t="s">
        <v>150</v>
      </c>
      <c r="F16" s="10" t="s">
        <v>131</v>
      </c>
      <c r="G16" s="10" t="s">
        <v>151</v>
      </c>
      <c r="H16" s="10" t="s">
        <v>152</v>
      </c>
      <c r="I16" s="10" t="n">
        <f aca="false">COUNTIF('템플릿 문항'!$D:$D,A16)</f>
        <v>9</v>
      </c>
      <c r="J16" s="10" t="n">
        <f aca="false">SUMIF('템플릿 문항'!$D:$D,A16,'템플릿 문항'!$I:$I)</f>
        <v>36</v>
      </c>
    </row>
    <row r="17" customFormat="false" ht="15" hidden="false" customHeight="false" outlineLevel="0" collapsed="false">
      <c r="A17" s="9" t="s">
        <v>153</v>
      </c>
      <c r="B17" s="9" t="s">
        <v>43</v>
      </c>
      <c r="C17" s="10" t="s">
        <v>44</v>
      </c>
      <c r="D17" s="10" t="s">
        <v>154</v>
      </c>
      <c r="E17" s="10" t="s">
        <v>155</v>
      </c>
      <c r="F17" s="10" t="s">
        <v>131</v>
      </c>
      <c r="G17" s="10" t="s">
        <v>156</v>
      </c>
      <c r="H17" s="10" t="s">
        <v>157</v>
      </c>
      <c r="I17" s="10" t="n">
        <f aca="false">COUNTIF('템플릿 문항'!$D:$D,A17)</f>
        <v>7</v>
      </c>
      <c r="J17" s="10" t="n">
        <f aca="false">SUMIF('템플릿 문항'!$D:$D,A17,'템플릿 문항'!$I:$I)</f>
        <v>27</v>
      </c>
    </row>
    <row r="18" customFormat="false" ht="15" hidden="false" customHeight="false" outlineLevel="0" collapsed="false">
      <c r="A18" s="9" t="s">
        <v>158</v>
      </c>
      <c r="B18" s="9" t="s">
        <v>43</v>
      </c>
      <c r="C18" s="10" t="s">
        <v>44</v>
      </c>
      <c r="D18" s="10" t="s">
        <v>159</v>
      </c>
      <c r="E18" s="10" t="s">
        <v>160</v>
      </c>
      <c r="F18" s="10" t="s">
        <v>131</v>
      </c>
      <c r="G18" s="10" t="s">
        <v>161</v>
      </c>
      <c r="H18" s="10" t="s">
        <v>162</v>
      </c>
      <c r="I18" s="10" t="n">
        <f aca="false">COUNTIF('템플릿 문항'!$D:$D,A18)</f>
        <v>6</v>
      </c>
      <c r="J18" s="10" t="n">
        <f aca="false">SUMIF('템플릿 문항'!$D:$D,A18,'템플릿 문항'!$I:$I)</f>
        <v>6</v>
      </c>
    </row>
    <row r="19" customFormat="false" ht="15" hidden="false" customHeight="false" outlineLevel="0" collapsed="false">
      <c r="A19" s="9" t="s">
        <v>163</v>
      </c>
      <c r="B19" s="9" t="s">
        <v>43</v>
      </c>
      <c r="C19" s="10" t="s">
        <v>44</v>
      </c>
      <c r="D19" s="10" t="s">
        <v>164</v>
      </c>
      <c r="E19" s="10" t="s">
        <v>165</v>
      </c>
      <c r="F19" s="10" t="s">
        <v>131</v>
      </c>
      <c r="G19" s="10" t="s">
        <v>166</v>
      </c>
      <c r="H19" s="10" t="s">
        <v>167</v>
      </c>
      <c r="I19" s="10" t="n">
        <f aca="false">COUNTIF('템플릿 문항'!$D:$D,A19)</f>
        <v>7</v>
      </c>
      <c r="J19" s="10" t="n">
        <f aca="false">SUMIF('템플릿 문항'!$D:$D,A19,'템플릿 문항'!$I:$I)</f>
        <v>13</v>
      </c>
    </row>
    <row r="20" customFormat="false" ht="15" hidden="false" customHeight="false" outlineLevel="0" collapsed="false">
      <c r="A20" s="9" t="s">
        <v>168</v>
      </c>
      <c r="B20" s="9" t="s">
        <v>45</v>
      </c>
      <c r="C20" s="10" t="s">
        <v>46</v>
      </c>
      <c r="D20" s="10" t="s">
        <v>169</v>
      </c>
      <c r="E20" s="10" t="s">
        <v>170</v>
      </c>
      <c r="F20" s="10" t="s">
        <v>131</v>
      </c>
      <c r="G20" s="10" t="s">
        <v>171</v>
      </c>
      <c r="H20" s="10" t="s">
        <v>172</v>
      </c>
      <c r="I20" s="10" t="n">
        <f aca="false">COUNTIF('템플릿 문항'!$D:$D,A20)</f>
        <v>8</v>
      </c>
      <c r="J20" s="10" t="n">
        <f aca="false">SUMIF('템플릿 문항'!$D:$D,A20,'템플릿 문항'!$I:$I)</f>
        <v>30</v>
      </c>
    </row>
    <row r="21" customFormat="false" ht="15" hidden="false" customHeight="false" outlineLevel="0" collapsed="false">
      <c r="A21" s="9" t="s">
        <v>173</v>
      </c>
      <c r="B21" s="9" t="s">
        <v>45</v>
      </c>
      <c r="C21" s="10" t="s">
        <v>46</v>
      </c>
      <c r="D21" s="10" t="s">
        <v>174</v>
      </c>
      <c r="E21" s="10" t="s">
        <v>175</v>
      </c>
      <c r="F21" s="10" t="s">
        <v>131</v>
      </c>
      <c r="G21" s="10" t="s">
        <v>176</v>
      </c>
      <c r="H21" s="10" t="s">
        <v>172</v>
      </c>
      <c r="I21" s="10" t="n">
        <f aca="false">COUNTIF('템플릿 문항'!$D:$D,A21)</f>
        <v>6</v>
      </c>
      <c r="J21" s="10" t="n">
        <f aca="false">SUMIF('템플릿 문항'!$D:$D,A21,'템플릿 문항'!$I:$I)</f>
        <v>6</v>
      </c>
    </row>
    <row r="22" customFormat="false" ht="15" hidden="false" customHeight="false" outlineLevel="0" collapsed="false">
      <c r="A22" s="9" t="s">
        <v>177</v>
      </c>
      <c r="B22" s="9" t="s">
        <v>45</v>
      </c>
      <c r="C22" s="10" t="s">
        <v>46</v>
      </c>
      <c r="D22" s="10" t="s">
        <v>178</v>
      </c>
      <c r="E22" s="10" t="s">
        <v>179</v>
      </c>
      <c r="F22" s="10" t="s">
        <v>91</v>
      </c>
      <c r="G22" s="10" t="s">
        <v>180</v>
      </c>
      <c r="H22" s="10" t="s">
        <v>181</v>
      </c>
      <c r="I22" s="10" t="n">
        <f aca="false">COUNTIF('템플릿 문항'!$D:$D,A22)</f>
        <v>6</v>
      </c>
      <c r="J22" s="10" t="n">
        <f aca="false">SUMIF('템플릿 문항'!$D:$D,A22,'템플릿 문항'!$I:$I)</f>
        <v>6</v>
      </c>
    </row>
    <row r="23" customFormat="false" ht="15" hidden="false" customHeight="false" outlineLevel="0" collapsed="false">
      <c r="A23" s="9" t="s">
        <v>182</v>
      </c>
      <c r="B23" s="9" t="s">
        <v>45</v>
      </c>
      <c r="C23" s="10" t="s">
        <v>46</v>
      </c>
      <c r="D23" s="10" t="s">
        <v>183</v>
      </c>
      <c r="E23" s="10" t="s">
        <v>184</v>
      </c>
      <c r="F23" s="10" t="s">
        <v>131</v>
      </c>
      <c r="G23" s="10" t="s">
        <v>185</v>
      </c>
      <c r="H23" s="10" t="s">
        <v>172</v>
      </c>
      <c r="I23" s="10" t="n">
        <f aca="false">COUNTIF('템플릿 문항'!$D:$D,A23)</f>
        <v>6</v>
      </c>
      <c r="J23" s="10" t="n">
        <f aca="false">SUMIF('템플릿 문항'!$D:$D,A23,'템플릿 문항'!$I:$I)</f>
        <v>9</v>
      </c>
    </row>
    <row r="24" customFormat="false" ht="15" hidden="false" customHeight="false" outlineLevel="0" collapsed="false">
      <c r="A24" s="9" t="s">
        <v>186</v>
      </c>
      <c r="B24" s="9" t="s">
        <v>47</v>
      </c>
      <c r="C24" s="10" t="s">
        <v>48</v>
      </c>
      <c r="D24" s="10" t="s">
        <v>187</v>
      </c>
      <c r="E24" s="10" t="s">
        <v>188</v>
      </c>
      <c r="F24" s="10" t="s">
        <v>131</v>
      </c>
      <c r="G24" s="10" t="s">
        <v>189</v>
      </c>
      <c r="H24" s="10" t="s">
        <v>190</v>
      </c>
      <c r="I24" s="10" t="n">
        <f aca="false">COUNTIF('템플릿 문항'!$D:$D,A24)</f>
        <v>9</v>
      </c>
      <c r="J24" s="10" t="n">
        <f aca="false">SUMIF('템플릿 문항'!$D:$D,A24,'템플릿 문항'!$I:$I)</f>
        <v>25</v>
      </c>
    </row>
    <row r="25" customFormat="false" ht="15" hidden="false" customHeight="false" outlineLevel="0" collapsed="false">
      <c r="A25" s="9" t="s">
        <v>191</v>
      </c>
      <c r="B25" s="9" t="s">
        <v>47</v>
      </c>
      <c r="C25" s="10" t="s">
        <v>48</v>
      </c>
      <c r="D25" s="10" t="s">
        <v>192</v>
      </c>
      <c r="E25" s="10" t="s">
        <v>193</v>
      </c>
      <c r="F25" s="10" t="s">
        <v>91</v>
      </c>
      <c r="G25" s="10" t="s">
        <v>194</v>
      </c>
      <c r="H25" s="10" t="s">
        <v>195</v>
      </c>
      <c r="I25" s="10" t="n">
        <f aca="false">COUNTIF('템플릿 문항'!$D:$D,A25)</f>
        <v>8</v>
      </c>
      <c r="J25" s="10" t="n">
        <f aca="false">SUMIF('템플릿 문항'!$D:$D,A25,'템플릿 문항'!$I:$I)</f>
        <v>14</v>
      </c>
    </row>
    <row r="26" customFormat="false" ht="15" hidden="false" customHeight="false" outlineLevel="0" collapsed="false">
      <c r="A26" s="9" t="s">
        <v>196</v>
      </c>
      <c r="B26" s="9" t="s">
        <v>47</v>
      </c>
      <c r="C26" s="10" t="s">
        <v>48</v>
      </c>
      <c r="D26" s="10" t="s">
        <v>197</v>
      </c>
      <c r="E26" s="10" t="s">
        <v>198</v>
      </c>
      <c r="F26" s="10" t="s">
        <v>131</v>
      </c>
      <c r="G26" s="10" t="s">
        <v>199</v>
      </c>
      <c r="H26" s="10" t="s">
        <v>200</v>
      </c>
      <c r="I26" s="10" t="n">
        <f aca="false">COUNTIF('템플릿 문항'!$D:$D,A26)</f>
        <v>6</v>
      </c>
      <c r="J26" s="10" t="n">
        <f aca="false">SUMIF('템플릿 문항'!$D:$D,A26,'템플릿 문항'!$I:$I)</f>
        <v>6</v>
      </c>
    </row>
    <row r="27" customFormat="false" ht="15" hidden="false" customHeight="false" outlineLevel="0" collapsed="false">
      <c r="A27" s="9" t="s">
        <v>201</v>
      </c>
      <c r="B27" s="9" t="s">
        <v>47</v>
      </c>
      <c r="C27" s="10" t="s">
        <v>48</v>
      </c>
      <c r="D27" s="10" t="s">
        <v>202</v>
      </c>
      <c r="E27" s="10" t="s">
        <v>203</v>
      </c>
      <c r="F27" s="10" t="s">
        <v>91</v>
      </c>
      <c r="G27" s="10" t="s">
        <v>204</v>
      </c>
      <c r="H27" s="10" t="s">
        <v>205</v>
      </c>
      <c r="I27" s="10" t="n">
        <f aca="false">COUNTIF('템플릿 문항'!$D:$D,A27)</f>
        <v>6</v>
      </c>
      <c r="J27" s="10" t="n">
        <f aca="false">SUMIF('템플릿 문항'!$D:$D,A27,'템플릿 문항'!$I:$I)</f>
        <v>6</v>
      </c>
    </row>
    <row r="28" customFormat="false" ht="15" hidden="false" customHeight="false" outlineLevel="0" collapsed="false">
      <c r="A28" s="9" t="s">
        <v>206</v>
      </c>
      <c r="B28" s="9" t="s">
        <v>49</v>
      </c>
      <c r="C28" s="10" t="s">
        <v>50</v>
      </c>
      <c r="D28" s="10" t="s">
        <v>207</v>
      </c>
      <c r="E28" s="10" t="s">
        <v>208</v>
      </c>
      <c r="F28" s="10" t="s">
        <v>131</v>
      </c>
      <c r="G28" s="10" t="s">
        <v>209</v>
      </c>
      <c r="H28" s="10" t="s">
        <v>210</v>
      </c>
      <c r="I28" s="10" t="n">
        <f aca="false">COUNTIF('템플릿 문항'!$D:$D,A28)</f>
        <v>7</v>
      </c>
      <c r="J28" s="10" t="n">
        <f aca="false">SUMIF('템플릿 문항'!$D:$D,A28,'템플릿 문항'!$I:$I)</f>
        <v>21</v>
      </c>
    </row>
    <row r="29" customFormat="false" ht="15" hidden="false" customHeight="false" outlineLevel="0" collapsed="false">
      <c r="A29" s="9" t="s">
        <v>211</v>
      </c>
      <c r="B29" s="9" t="s">
        <v>49</v>
      </c>
      <c r="C29" s="10" t="s">
        <v>50</v>
      </c>
      <c r="D29" s="10" t="s">
        <v>212</v>
      </c>
      <c r="E29" s="10" t="s">
        <v>213</v>
      </c>
      <c r="F29" s="10" t="s">
        <v>91</v>
      </c>
      <c r="G29" s="10" t="s">
        <v>214</v>
      </c>
      <c r="H29" s="10" t="s">
        <v>215</v>
      </c>
      <c r="I29" s="10" t="n">
        <f aca="false">COUNTIF('템플릿 문항'!$D:$D,A29)</f>
        <v>6</v>
      </c>
      <c r="J29" s="10" t="n">
        <f aca="false">SUMIF('템플릿 문항'!$D:$D,A29,'템플릿 문항'!$I:$I)</f>
        <v>6</v>
      </c>
    </row>
    <row r="30" customFormat="false" ht="15" hidden="false" customHeight="false" outlineLevel="0" collapsed="false">
      <c r="A30" s="9" t="s">
        <v>216</v>
      </c>
      <c r="B30" s="9" t="s">
        <v>49</v>
      </c>
      <c r="C30" s="10" t="s">
        <v>50</v>
      </c>
      <c r="D30" s="10" t="s">
        <v>217</v>
      </c>
      <c r="E30" s="10" t="s">
        <v>218</v>
      </c>
      <c r="F30" s="10" t="s">
        <v>91</v>
      </c>
      <c r="G30" s="10" t="s">
        <v>219</v>
      </c>
      <c r="H30" s="10" t="s">
        <v>220</v>
      </c>
      <c r="I30" s="10" t="n">
        <f aca="false">COUNTIF('템플릿 문항'!$D:$D,A30)</f>
        <v>6</v>
      </c>
      <c r="J30" s="10" t="n">
        <f aca="false">SUMIF('템플릿 문항'!$D:$D,A30,'템플릿 문항'!$I:$I)</f>
        <v>6</v>
      </c>
    </row>
    <row r="31" customFormat="false" ht="15" hidden="false" customHeight="false" outlineLevel="0" collapsed="false">
      <c r="A31" s="9" t="s">
        <v>221</v>
      </c>
      <c r="B31" s="9" t="s">
        <v>49</v>
      </c>
      <c r="C31" s="10" t="s">
        <v>50</v>
      </c>
      <c r="D31" s="10" t="s">
        <v>222</v>
      </c>
      <c r="E31" s="10" t="s">
        <v>223</v>
      </c>
      <c r="F31" s="10" t="s">
        <v>91</v>
      </c>
      <c r="G31" s="10" t="s">
        <v>224</v>
      </c>
      <c r="H31" s="10" t="s">
        <v>200</v>
      </c>
      <c r="I31" s="10" t="n">
        <f aca="false">COUNTIF('템플릿 문항'!$D:$D,A31)</f>
        <v>7</v>
      </c>
      <c r="J31" s="10" t="n">
        <f aca="false">SUMIF('템플릿 문항'!$D:$D,A31,'템플릿 문항'!$I:$I)</f>
        <v>19</v>
      </c>
    </row>
    <row r="32" customFormat="false" ht="15" hidden="false" customHeight="false" outlineLevel="0" collapsed="false">
      <c r="A32" s="9" t="s">
        <v>225</v>
      </c>
      <c r="B32" s="9" t="s">
        <v>51</v>
      </c>
      <c r="C32" s="10" t="s">
        <v>52</v>
      </c>
      <c r="D32" s="10" t="s">
        <v>226</v>
      </c>
      <c r="E32" s="10" t="s">
        <v>227</v>
      </c>
      <c r="F32" s="10" t="s">
        <v>91</v>
      </c>
      <c r="G32" s="10" t="s">
        <v>228</v>
      </c>
      <c r="H32" s="10" t="s">
        <v>229</v>
      </c>
      <c r="I32" s="10" t="n">
        <f aca="false">COUNTIF('템플릿 문항'!$D:$D,A32)</f>
        <v>8</v>
      </c>
      <c r="J32" s="10" t="n">
        <f aca="false">SUMIF('템플릿 문항'!$D:$D,A32,'템플릿 문항'!$I:$I)</f>
        <v>15</v>
      </c>
    </row>
    <row r="33" customFormat="false" ht="15" hidden="false" customHeight="false" outlineLevel="0" collapsed="false">
      <c r="A33" s="9" t="s">
        <v>230</v>
      </c>
      <c r="B33" s="9" t="s">
        <v>51</v>
      </c>
      <c r="C33" s="10" t="s">
        <v>52</v>
      </c>
      <c r="D33" s="10" t="s">
        <v>231</v>
      </c>
      <c r="E33" s="10" t="s">
        <v>232</v>
      </c>
      <c r="F33" s="10" t="s">
        <v>91</v>
      </c>
      <c r="G33" s="10" t="s">
        <v>233</v>
      </c>
      <c r="H33" s="10" t="s">
        <v>162</v>
      </c>
      <c r="I33" s="10" t="n">
        <f aca="false">COUNTIF('템플릿 문항'!$D:$D,A33)</f>
        <v>9</v>
      </c>
      <c r="J33" s="10" t="n">
        <f aca="false">SUMIF('템플릿 문항'!$D:$D,A33,'템플릿 문항'!$I:$I)</f>
        <v>16</v>
      </c>
    </row>
    <row r="34" customFormat="false" ht="15" hidden="false" customHeight="false" outlineLevel="0" collapsed="false">
      <c r="A34" s="9" t="s">
        <v>234</v>
      </c>
      <c r="B34" s="9" t="s">
        <v>51</v>
      </c>
      <c r="C34" s="10" t="s">
        <v>52</v>
      </c>
      <c r="D34" s="10" t="s">
        <v>235</v>
      </c>
      <c r="E34" s="10" t="s">
        <v>236</v>
      </c>
      <c r="F34" s="10" t="s">
        <v>97</v>
      </c>
      <c r="G34" s="10" t="s">
        <v>237</v>
      </c>
      <c r="H34" s="10" t="s">
        <v>238</v>
      </c>
      <c r="I34" s="10" t="n">
        <f aca="false">COUNTIF('템플릿 문항'!$D:$D,A34)</f>
        <v>9</v>
      </c>
      <c r="J34" s="10" t="n">
        <f aca="false">SUMIF('템플릿 문항'!$D:$D,A34,'템플릿 문항'!$I:$I)</f>
        <v>12</v>
      </c>
    </row>
    <row r="35" customFormat="false" ht="15" hidden="false" customHeight="false" outlineLevel="0" collapsed="false">
      <c r="A35" s="9" t="s">
        <v>239</v>
      </c>
      <c r="B35" s="9" t="s">
        <v>51</v>
      </c>
      <c r="C35" s="10" t="s">
        <v>52</v>
      </c>
      <c r="D35" s="10" t="s">
        <v>240</v>
      </c>
      <c r="E35" s="10" t="s">
        <v>241</v>
      </c>
      <c r="F35" s="10" t="s">
        <v>91</v>
      </c>
      <c r="G35" s="10" t="s">
        <v>242</v>
      </c>
      <c r="H35" s="10" t="s">
        <v>243</v>
      </c>
      <c r="I35" s="10" t="n">
        <f aca="false">COUNTIF('템플릿 문항'!$D:$D,A35)</f>
        <v>9</v>
      </c>
      <c r="J35" s="10" t="n">
        <f aca="false">SUMIF('템플릿 문항'!$D:$D,A35,'템플릿 문항'!$I:$I)</f>
        <v>12</v>
      </c>
    </row>
    <row r="36" customFormat="false" ht="15" hidden="false" customHeight="false" outlineLevel="0" collapsed="false">
      <c r="A36" s="9" t="s">
        <v>244</v>
      </c>
      <c r="B36" s="9" t="s">
        <v>53</v>
      </c>
      <c r="C36" s="10" t="s">
        <v>54</v>
      </c>
      <c r="D36" s="10" t="s">
        <v>245</v>
      </c>
      <c r="E36" s="10" t="s">
        <v>246</v>
      </c>
      <c r="F36" s="10" t="s">
        <v>97</v>
      </c>
      <c r="G36" s="10" t="s">
        <v>247</v>
      </c>
      <c r="H36" s="10" t="s">
        <v>248</v>
      </c>
      <c r="I36" s="10" t="n">
        <f aca="false">COUNTIF('템플릿 문항'!$D:$D,A36)</f>
        <v>8</v>
      </c>
      <c r="J36" s="10" t="n">
        <f aca="false">SUMIF('템플릿 문항'!$D:$D,A36,'템플릿 문항'!$I:$I)</f>
        <v>21</v>
      </c>
    </row>
    <row r="37" customFormat="false" ht="15" hidden="false" customHeight="false" outlineLevel="0" collapsed="false">
      <c r="A37" s="9" t="s">
        <v>249</v>
      </c>
      <c r="B37" s="9" t="s">
        <v>53</v>
      </c>
      <c r="C37" s="10" t="s">
        <v>54</v>
      </c>
      <c r="D37" s="10" t="s">
        <v>250</v>
      </c>
      <c r="E37" s="10" t="s">
        <v>251</v>
      </c>
      <c r="F37" s="10" t="s">
        <v>97</v>
      </c>
      <c r="G37" s="10" t="s">
        <v>252</v>
      </c>
      <c r="H37" s="10" t="s">
        <v>253</v>
      </c>
      <c r="I37" s="10" t="n">
        <f aca="false">COUNTIF('템플릿 문항'!$D:$D,A37)</f>
        <v>6</v>
      </c>
      <c r="J37" s="10" t="n">
        <f aca="false">SUMIF('템플릿 문항'!$D:$D,A37,'템플릿 문항'!$I:$I)</f>
        <v>6</v>
      </c>
    </row>
    <row r="38" customFormat="false" ht="15" hidden="false" customHeight="false" outlineLevel="0" collapsed="false">
      <c r="A38" s="9" t="s">
        <v>254</v>
      </c>
      <c r="B38" s="9" t="s">
        <v>53</v>
      </c>
      <c r="C38" s="10" t="s">
        <v>54</v>
      </c>
      <c r="D38" s="10" t="s">
        <v>255</v>
      </c>
      <c r="E38" s="10" t="s">
        <v>256</v>
      </c>
      <c r="F38" s="10" t="s">
        <v>97</v>
      </c>
      <c r="G38" s="10" t="s">
        <v>257</v>
      </c>
      <c r="H38" s="10" t="s">
        <v>258</v>
      </c>
      <c r="I38" s="10" t="n">
        <f aca="false">COUNTIF('템플릿 문항'!$D:$D,A38)</f>
        <v>7</v>
      </c>
      <c r="J38" s="10" t="n">
        <f aca="false">SUMIF('템플릿 문항'!$D:$D,A38,'템플릿 문항'!$I:$I)</f>
        <v>13</v>
      </c>
    </row>
    <row r="39" customFormat="false" ht="15" hidden="false" customHeight="false" outlineLevel="0" collapsed="false">
      <c r="A39" s="9" t="s">
        <v>259</v>
      </c>
      <c r="B39" s="9" t="s">
        <v>53</v>
      </c>
      <c r="C39" s="10" t="s">
        <v>54</v>
      </c>
      <c r="D39" s="10" t="s">
        <v>260</v>
      </c>
      <c r="E39" s="10" t="s">
        <v>261</v>
      </c>
      <c r="F39" s="10" t="s">
        <v>97</v>
      </c>
      <c r="G39" s="10" t="s">
        <v>262</v>
      </c>
      <c r="H39" s="10" t="s">
        <v>263</v>
      </c>
      <c r="I39" s="10" t="n">
        <f aca="false">COUNTIF('템플릿 문항'!$D:$D,A39)</f>
        <v>7</v>
      </c>
      <c r="J39" s="10" t="n">
        <f aca="false">SUMIF('템플릿 문항'!$D:$D,A39,'템플릿 문항'!$I:$I)</f>
        <v>13</v>
      </c>
    </row>
    <row r="40" customFormat="false" ht="15" hidden="false" customHeight="false" outlineLevel="0" collapsed="false">
      <c r="A40" s="9" t="s">
        <v>264</v>
      </c>
      <c r="B40" s="9" t="s">
        <v>55</v>
      </c>
      <c r="C40" s="10" t="s">
        <v>56</v>
      </c>
      <c r="D40" s="10" t="s">
        <v>265</v>
      </c>
      <c r="E40" s="10" t="s">
        <v>266</v>
      </c>
      <c r="F40" s="10" t="s">
        <v>91</v>
      </c>
      <c r="G40" s="10" t="s">
        <v>267</v>
      </c>
      <c r="H40" s="10" t="s">
        <v>268</v>
      </c>
      <c r="I40" s="10" t="n">
        <f aca="false">COUNTIF('템플릿 문항'!$D:$D,A40)</f>
        <v>10</v>
      </c>
      <c r="J40" s="10" t="n">
        <f aca="false">SUMIF('템플릿 문항'!$D:$D,A40,'템플릿 문항'!$I:$I)</f>
        <v>13</v>
      </c>
    </row>
    <row r="41" customFormat="false" ht="15" hidden="false" customHeight="false" outlineLevel="0" collapsed="false">
      <c r="A41" s="9" t="s">
        <v>269</v>
      </c>
      <c r="B41" s="9" t="s">
        <v>55</v>
      </c>
      <c r="C41" s="10" t="s">
        <v>56</v>
      </c>
      <c r="D41" s="10" t="s">
        <v>270</v>
      </c>
      <c r="E41" s="10" t="s">
        <v>271</v>
      </c>
      <c r="F41" s="10" t="s">
        <v>91</v>
      </c>
      <c r="G41" s="10" t="s">
        <v>272</v>
      </c>
      <c r="H41" s="10" t="s">
        <v>243</v>
      </c>
      <c r="I41" s="10" t="n">
        <f aca="false">COUNTIF('템플릿 문항'!$D:$D,A41)</f>
        <v>10</v>
      </c>
      <c r="J41" s="10" t="n">
        <f aca="false">SUMIF('템플릿 문항'!$D:$D,A41,'템플릿 문항'!$I:$I)</f>
        <v>13</v>
      </c>
    </row>
    <row r="42" customFormat="false" ht="15" hidden="false" customHeight="false" outlineLevel="0" collapsed="false">
      <c r="A42" s="9" t="s">
        <v>273</v>
      </c>
      <c r="B42" s="9" t="s">
        <v>55</v>
      </c>
      <c r="C42" s="10" t="s">
        <v>56</v>
      </c>
      <c r="D42" s="10" t="s">
        <v>274</v>
      </c>
      <c r="E42" s="10" t="s">
        <v>275</v>
      </c>
      <c r="F42" s="10" t="s">
        <v>131</v>
      </c>
      <c r="G42" s="10" t="s">
        <v>276</v>
      </c>
      <c r="H42" s="10" t="s">
        <v>277</v>
      </c>
      <c r="I42" s="10" t="n">
        <f aca="false">COUNTIF('템플릿 문항'!$D:$D,A42)</f>
        <v>9</v>
      </c>
      <c r="J42" s="10" t="n">
        <f aca="false">SUMIF('템플릿 문항'!$D:$D,A42,'템플릿 문항'!$I:$I)</f>
        <v>12</v>
      </c>
    </row>
    <row r="43" customFormat="false" ht="15" hidden="false" customHeight="false" outlineLevel="0" collapsed="false">
      <c r="A43" s="9" t="s">
        <v>278</v>
      </c>
      <c r="B43" s="9" t="s">
        <v>55</v>
      </c>
      <c r="C43" s="10" t="s">
        <v>56</v>
      </c>
      <c r="D43" s="10" t="s">
        <v>279</v>
      </c>
      <c r="E43" s="10" t="s">
        <v>280</v>
      </c>
      <c r="F43" s="10" t="s">
        <v>131</v>
      </c>
      <c r="G43" s="10" t="s">
        <v>281</v>
      </c>
      <c r="H43" s="10" t="s">
        <v>282</v>
      </c>
      <c r="I43" s="10" t="n">
        <f aca="false">COUNTIF('템플릿 문항'!$D:$D,A43)</f>
        <v>10</v>
      </c>
      <c r="J43" s="10" t="n">
        <f aca="false">SUMIF('템플릿 문항'!$D:$D,A43,'템플릿 문항'!$I:$I)</f>
        <v>13</v>
      </c>
    </row>
    <row r="44" customFormat="false" ht="15" hidden="false" customHeight="false" outlineLevel="0" collapsed="false">
      <c r="A44" s="9" t="s">
        <v>283</v>
      </c>
      <c r="B44" s="9" t="s">
        <v>57</v>
      </c>
      <c r="C44" s="10" t="s">
        <v>58</v>
      </c>
      <c r="D44" s="10" t="s">
        <v>284</v>
      </c>
      <c r="E44" s="10" t="s">
        <v>285</v>
      </c>
      <c r="F44" s="10" t="s">
        <v>91</v>
      </c>
      <c r="G44" s="10" t="s">
        <v>286</v>
      </c>
      <c r="H44" s="10" t="s">
        <v>287</v>
      </c>
      <c r="I44" s="10" t="n">
        <f aca="false">COUNTIF('템플릿 문항'!$D:$D,A44)</f>
        <v>9</v>
      </c>
      <c r="J44" s="10" t="n">
        <f aca="false">SUMIF('템플릿 문항'!$D:$D,A44,'템플릿 문항'!$I:$I)</f>
        <v>14</v>
      </c>
    </row>
    <row r="45" customFormat="false" ht="15" hidden="false" customHeight="false" outlineLevel="0" collapsed="false">
      <c r="A45" s="9" t="s">
        <v>288</v>
      </c>
      <c r="B45" s="9" t="s">
        <v>57</v>
      </c>
      <c r="C45" s="10" t="s">
        <v>58</v>
      </c>
      <c r="D45" s="10" t="s">
        <v>289</v>
      </c>
      <c r="E45" s="10" t="s">
        <v>290</v>
      </c>
      <c r="F45" s="10" t="s">
        <v>91</v>
      </c>
      <c r="G45" s="10" t="s">
        <v>291</v>
      </c>
      <c r="H45" s="10" t="s">
        <v>292</v>
      </c>
      <c r="I45" s="10" t="n">
        <f aca="false">COUNTIF('템플릿 문항'!$D:$D,A45)</f>
        <v>10</v>
      </c>
      <c r="J45" s="10" t="n">
        <f aca="false">SUMIF('템플릿 문항'!$D:$D,A45,'템플릿 문항'!$I:$I)</f>
        <v>12</v>
      </c>
    </row>
    <row r="46" customFormat="false" ht="15" hidden="false" customHeight="false" outlineLevel="0" collapsed="false">
      <c r="A46" s="9" t="s">
        <v>293</v>
      </c>
      <c r="B46" s="9" t="s">
        <v>57</v>
      </c>
      <c r="C46" s="10" t="s">
        <v>58</v>
      </c>
      <c r="D46" s="10" t="s">
        <v>294</v>
      </c>
      <c r="E46" s="10" t="s">
        <v>295</v>
      </c>
      <c r="F46" s="10" t="s">
        <v>97</v>
      </c>
      <c r="G46" s="10" t="s">
        <v>296</v>
      </c>
      <c r="H46" s="10" t="s">
        <v>297</v>
      </c>
      <c r="I46" s="10" t="n">
        <f aca="false">COUNTIF('템플릿 문항'!$D:$D,A46)</f>
        <v>9</v>
      </c>
      <c r="J46" s="10" t="n">
        <f aca="false">SUMIF('템플릿 문항'!$D:$D,A46,'템플릿 문항'!$I:$I)</f>
        <v>15</v>
      </c>
    </row>
    <row r="47" customFormat="false" ht="15" hidden="false" customHeight="false" outlineLevel="0" collapsed="false">
      <c r="A47" s="9" t="s">
        <v>298</v>
      </c>
      <c r="B47" s="9" t="s">
        <v>57</v>
      </c>
      <c r="C47" s="10" t="s">
        <v>58</v>
      </c>
      <c r="D47" s="10" t="s">
        <v>299</v>
      </c>
      <c r="E47" s="10" t="s">
        <v>300</v>
      </c>
      <c r="F47" s="10" t="s">
        <v>91</v>
      </c>
      <c r="G47" s="10" t="s">
        <v>301</v>
      </c>
      <c r="H47" s="10" t="s">
        <v>302</v>
      </c>
      <c r="I47" s="10" t="n">
        <f aca="false">COUNTIF('템플릿 문항'!$D:$D,A47)</f>
        <v>8</v>
      </c>
      <c r="J47" s="10" t="n">
        <f aca="false">SUMIF('템플릿 문항'!$D:$D,A47,'템플릿 문항'!$I:$I)</f>
        <v>10</v>
      </c>
    </row>
    <row r="48" customFormat="false" ht="15" hidden="false" customHeight="false" outlineLevel="0" collapsed="false">
      <c r="A48" s="9" t="s">
        <v>303</v>
      </c>
      <c r="B48" s="9" t="s">
        <v>59</v>
      </c>
      <c r="C48" s="10" t="s">
        <v>60</v>
      </c>
      <c r="D48" s="10" t="s">
        <v>304</v>
      </c>
      <c r="E48" s="10" t="s">
        <v>305</v>
      </c>
      <c r="F48" s="10" t="s">
        <v>91</v>
      </c>
      <c r="G48" s="10" t="s">
        <v>306</v>
      </c>
      <c r="H48" s="10" t="s">
        <v>307</v>
      </c>
      <c r="I48" s="10" t="n">
        <f aca="false">COUNTIF('템플릿 문항'!$D:$D,A48)</f>
        <v>10</v>
      </c>
      <c r="J48" s="10" t="n">
        <f aca="false">SUMIF('템플릿 문항'!$D:$D,A48,'템플릿 문항'!$I:$I)</f>
        <v>18</v>
      </c>
    </row>
    <row r="49" customFormat="false" ht="15" hidden="false" customHeight="false" outlineLevel="0" collapsed="false">
      <c r="A49" s="9" t="s">
        <v>308</v>
      </c>
      <c r="B49" s="9" t="s">
        <v>59</v>
      </c>
      <c r="C49" s="10" t="s">
        <v>60</v>
      </c>
      <c r="D49" s="10" t="s">
        <v>309</v>
      </c>
      <c r="E49" s="10" t="s">
        <v>310</v>
      </c>
      <c r="F49" s="10" t="s">
        <v>91</v>
      </c>
      <c r="G49" s="10" t="s">
        <v>311</v>
      </c>
      <c r="H49" s="10" t="s">
        <v>312</v>
      </c>
      <c r="I49" s="10" t="n">
        <f aca="false">COUNTIF('템플릿 문항'!$D:$D,A49)</f>
        <v>7</v>
      </c>
      <c r="J49" s="10" t="n">
        <f aca="false">SUMIF('템플릿 문항'!$D:$D,A49,'템플릿 문항'!$I:$I)</f>
        <v>15</v>
      </c>
    </row>
    <row r="50" customFormat="false" ht="15" hidden="false" customHeight="false" outlineLevel="0" collapsed="false">
      <c r="A50" s="9" t="s">
        <v>313</v>
      </c>
      <c r="B50" s="9" t="s">
        <v>59</v>
      </c>
      <c r="C50" s="10" t="s">
        <v>60</v>
      </c>
      <c r="D50" s="10" t="s">
        <v>314</v>
      </c>
      <c r="E50" s="10" t="s">
        <v>315</v>
      </c>
      <c r="F50" s="10" t="s">
        <v>91</v>
      </c>
      <c r="G50" s="10" t="s">
        <v>316</v>
      </c>
      <c r="H50" s="10" t="s">
        <v>317</v>
      </c>
      <c r="I50" s="10" t="n">
        <f aca="false">COUNTIF('템플릿 문항'!$D:$D,A50)</f>
        <v>6</v>
      </c>
      <c r="J50" s="10" t="n">
        <f aca="false">SUMIF('템플릿 문항'!$D:$D,A50,'템플릿 문항'!$I:$I)</f>
        <v>12</v>
      </c>
    </row>
    <row r="51" customFormat="false" ht="15" hidden="false" customHeight="false" outlineLevel="0" collapsed="false">
      <c r="A51" s="9" t="s">
        <v>318</v>
      </c>
      <c r="B51" s="9" t="s">
        <v>59</v>
      </c>
      <c r="C51" s="10" t="s">
        <v>60</v>
      </c>
      <c r="D51" s="10" t="s">
        <v>319</v>
      </c>
      <c r="E51" s="10" t="s">
        <v>320</v>
      </c>
      <c r="F51" s="10" t="s">
        <v>97</v>
      </c>
      <c r="G51" s="10" t="s">
        <v>321</v>
      </c>
      <c r="H51" s="10" t="s">
        <v>200</v>
      </c>
      <c r="I51" s="10" t="n">
        <f aca="false">COUNTIF('템플릿 문항'!$D:$D,A51)</f>
        <v>6</v>
      </c>
      <c r="J51" s="10" t="n">
        <f aca="false">SUMIF('템플릿 문항'!$D:$D,A51,'템플릿 문항'!$I:$I)</f>
        <v>6</v>
      </c>
    </row>
    <row r="52" customFormat="false" ht="15" hidden="false" customHeight="false" outlineLevel="0" collapsed="false">
      <c r="A52" s="13" t="s">
        <v>61</v>
      </c>
      <c r="B52" s="13"/>
      <c r="C52" s="13"/>
      <c r="D52" s="13"/>
      <c r="E52" s="13"/>
      <c r="F52" s="13"/>
      <c r="G52" s="13"/>
      <c r="H52" s="13"/>
      <c r="I52" s="13" t="n">
        <f aca="false">SUM(I4:I51)</f>
        <v>357</v>
      </c>
      <c r="J52" s="13" t="n">
        <f aca="false">SUM(J4:J51)</f>
        <v>694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"/>
    <col collapsed="false" customWidth="true" hidden="false" outlineLevel="0" max="4" min="3" style="0" width="8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34"/>
    <col collapsed="false" customWidth="true" hidden="false" outlineLevel="0" max="12" min="12" style="0" width="22"/>
    <col collapsed="false" customWidth="true" hidden="false" outlineLevel="0" max="13" min="13" style="0" width="26"/>
    <col collapsed="false" customWidth="true" hidden="false" outlineLevel="0" max="14" min="14" style="0" width="12"/>
    <col collapsed="false" customWidth="true" hidden="false" outlineLevel="0" max="15" min="15" style="0" width="16"/>
  </cols>
  <sheetData>
    <row r="1" customFormat="false" ht="21.6" hidden="false" customHeight="false" outlineLevel="0" collapsed="false">
      <c r="A1" s="1" t="s">
        <v>322</v>
      </c>
    </row>
    <row r="2" customFormat="false" ht="15" hidden="false" customHeight="false" outlineLevel="0" collapsed="false">
      <c r="E2" s="2" t="s">
        <v>323</v>
      </c>
    </row>
    <row r="3" customFormat="false" ht="30" hidden="false" customHeight="true" outlineLevel="0" collapsed="false">
      <c r="A3" s="8" t="s">
        <v>324</v>
      </c>
      <c r="B3" s="8" t="s">
        <v>325</v>
      </c>
      <c r="C3" s="8" t="s">
        <v>26</v>
      </c>
      <c r="D3" s="8" t="s">
        <v>81</v>
      </c>
      <c r="E3" s="8" t="s">
        <v>326</v>
      </c>
      <c r="F3" s="8" t="s">
        <v>327</v>
      </c>
      <c r="G3" s="8" t="s">
        <v>328</v>
      </c>
      <c r="H3" s="8" t="s">
        <v>329</v>
      </c>
      <c r="I3" s="8" t="s">
        <v>330</v>
      </c>
      <c r="J3" s="8" t="s">
        <v>331</v>
      </c>
      <c r="K3" s="8" t="s">
        <v>332</v>
      </c>
      <c r="L3" s="8" t="s">
        <v>86</v>
      </c>
      <c r="M3" s="8" t="s">
        <v>333</v>
      </c>
      <c r="N3" s="8" t="s">
        <v>334</v>
      </c>
      <c r="O3" s="8" t="s">
        <v>335</v>
      </c>
    </row>
    <row r="4" customFormat="false" ht="29.85" hidden="false" customHeight="false" outlineLevel="0" collapsed="false">
      <c r="A4" s="9" t="s">
        <v>336</v>
      </c>
      <c r="B4" s="10" t="s">
        <v>337</v>
      </c>
      <c r="C4" s="9" t="s">
        <v>37</v>
      </c>
      <c r="D4" s="9" t="s">
        <v>88</v>
      </c>
      <c r="E4" s="9" t="s">
        <v>338</v>
      </c>
      <c r="F4" s="9" t="s">
        <v>339</v>
      </c>
      <c r="G4" s="10" t="s">
        <v>77</v>
      </c>
      <c r="H4" s="10" t="s">
        <v>91</v>
      </c>
      <c r="I4" s="11" t="n">
        <v>1</v>
      </c>
      <c r="J4" s="9" t="s">
        <v>340</v>
      </c>
      <c r="K4" s="10" t="s">
        <v>341</v>
      </c>
      <c r="L4" s="10" t="s">
        <v>93</v>
      </c>
      <c r="M4" s="10" t="s">
        <v>90</v>
      </c>
      <c r="N4" s="15"/>
      <c r="O4" s="10"/>
    </row>
    <row r="5" customFormat="false" ht="29.85" hidden="false" customHeight="false" outlineLevel="0" collapsed="false">
      <c r="A5" s="9" t="s">
        <v>342</v>
      </c>
      <c r="B5" s="10" t="s">
        <v>337</v>
      </c>
      <c r="C5" s="9" t="s">
        <v>37</v>
      </c>
      <c r="D5" s="9" t="s">
        <v>88</v>
      </c>
      <c r="E5" s="9" t="s">
        <v>343</v>
      </c>
      <c r="F5" s="9" t="s">
        <v>339</v>
      </c>
      <c r="G5" s="10" t="s">
        <v>75</v>
      </c>
      <c r="H5" s="10" t="s">
        <v>91</v>
      </c>
      <c r="I5" s="11" t="n">
        <v>1</v>
      </c>
      <c r="J5" s="9" t="s">
        <v>340</v>
      </c>
      <c r="K5" s="10" t="s">
        <v>344</v>
      </c>
      <c r="L5" s="10" t="s">
        <v>93</v>
      </c>
      <c r="M5" s="10" t="s">
        <v>90</v>
      </c>
      <c r="N5" s="15"/>
      <c r="O5" s="10"/>
    </row>
    <row r="6" customFormat="false" ht="15" hidden="false" customHeight="false" outlineLevel="0" collapsed="false">
      <c r="A6" s="9" t="s">
        <v>345</v>
      </c>
      <c r="B6" s="10" t="s">
        <v>337</v>
      </c>
      <c r="C6" s="9" t="s">
        <v>37</v>
      </c>
      <c r="D6" s="9" t="s">
        <v>88</v>
      </c>
      <c r="E6" s="9" t="s">
        <v>346</v>
      </c>
      <c r="F6" s="9" t="s">
        <v>347</v>
      </c>
      <c r="G6" s="10" t="s">
        <v>76</v>
      </c>
      <c r="H6" s="10" t="s">
        <v>91</v>
      </c>
      <c r="I6" s="11" t="n">
        <v>3</v>
      </c>
      <c r="J6" s="9" t="s">
        <v>340</v>
      </c>
      <c r="K6" s="10" t="s">
        <v>348</v>
      </c>
      <c r="L6" s="10" t="s">
        <v>93</v>
      </c>
      <c r="M6" s="10" t="s">
        <v>90</v>
      </c>
      <c r="N6" s="15"/>
      <c r="O6" s="10"/>
    </row>
    <row r="7" customFormat="false" ht="15" hidden="false" customHeight="false" outlineLevel="0" collapsed="false">
      <c r="A7" s="9" t="s">
        <v>349</v>
      </c>
      <c r="B7" s="10" t="s">
        <v>350</v>
      </c>
      <c r="C7" s="9" t="s">
        <v>37</v>
      </c>
      <c r="D7" s="9" t="s">
        <v>88</v>
      </c>
      <c r="E7" s="9" t="s">
        <v>351</v>
      </c>
      <c r="F7" s="9" t="s">
        <v>339</v>
      </c>
      <c r="G7" s="10" t="s">
        <v>79</v>
      </c>
      <c r="H7" s="10" t="s">
        <v>131</v>
      </c>
      <c r="I7" s="11" t="n">
        <v>1</v>
      </c>
      <c r="J7" s="9" t="s">
        <v>340</v>
      </c>
      <c r="K7" s="10" t="s">
        <v>352</v>
      </c>
      <c r="L7" s="10" t="s">
        <v>93</v>
      </c>
      <c r="M7" s="10" t="s">
        <v>90</v>
      </c>
      <c r="N7" s="15"/>
      <c r="O7" s="10"/>
    </row>
    <row r="8" customFormat="false" ht="29.85" hidden="false" customHeight="false" outlineLevel="0" collapsed="false">
      <c r="A8" s="9" t="s">
        <v>353</v>
      </c>
      <c r="B8" s="10" t="s">
        <v>350</v>
      </c>
      <c r="C8" s="9" t="s">
        <v>37</v>
      </c>
      <c r="D8" s="9" t="s">
        <v>88</v>
      </c>
      <c r="E8" s="9" t="s">
        <v>354</v>
      </c>
      <c r="F8" s="9" t="s">
        <v>355</v>
      </c>
      <c r="G8" s="10" t="s">
        <v>77</v>
      </c>
      <c r="H8" s="10" t="s">
        <v>91</v>
      </c>
      <c r="I8" s="11" t="n">
        <v>8</v>
      </c>
      <c r="J8" s="9" t="s">
        <v>356</v>
      </c>
      <c r="K8" s="10" t="s">
        <v>341</v>
      </c>
      <c r="L8" s="10" t="s">
        <v>93</v>
      </c>
      <c r="M8" s="10" t="s">
        <v>90</v>
      </c>
      <c r="N8" s="15"/>
      <c r="O8" s="10"/>
    </row>
    <row r="9" customFormat="false" ht="29.85" hidden="false" customHeight="false" outlineLevel="0" collapsed="false">
      <c r="A9" s="9" t="s">
        <v>357</v>
      </c>
      <c r="B9" s="10" t="s">
        <v>337</v>
      </c>
      <c r="C9" s="9" t="s">
        <v>37</v>
      </c>
      <c r="D9" s="9" t="s">
        <v>94</v>
      </c>
      <c r="E9" s="9" t="s">
        <v>358</v>
      </c>
      <c r="F9" s="9" t="s">
        <v>339</v>
      </c>
      <c r="G9" s="10" t="s">
        <v>77</v>
      </c>
      <c r="H9" s="10" t="s">
        <v>97</v>
      </c>
      <c r="I9" s="11" t="n">
        <v>1</v>
      </c>
      <c r="J9" s="9" t="s">
        <v>340</v>
      </c>
      <c r="K9" s="10" t="s">
        <v>341</v>
      </c>
      <c r="L9" s="10" t="s">
        <v>99</v>
      </c>
      <c r="M9" s="10" t="s">
        <v>96</v>
      </c>
      <c r="N9" s="15"/>
      <c r="O9" s="10"/>
    </row>
    <row r="10" customFormat="false" ht="15" hidden="false" customHeight="false" outlineLevel="0" collapsed="false">
      <c r="A10" s="9" t="s">
        <v>359</v>
      </c>
      <c r="B10" s="10" t="s">
        <v>337</v>
      </c>
      <c r="C10" s="9" t="s">
        <v>37</v>
      </c>
      <c r="D10" s="9" t="s">
        <v>94</v>
      </c>
      <c r="E10" s="9" t="s">
        <v>360</v>
      </c>
      <c r="F10" s="9" t="s">
        <v>361</v>
      </c>
      <c r="G10" s="10" t="s">
        <v>79</v>
      </c>
      <c r="H10" s="10" t="s">
        <v>97</v>
      </c>
      <c r="I10" s="11" t="n">
        <v>3</v>
      </c>
      <c r="J10" s="9" t="s">
        <v>340</v>
      </c>
      <c r="K10" s="10" t="s">
        <v>352</v>
      </c>
      <c r="L10" s="10" t="s">
        <v>99</v>
      </c>
      <c r="M10" s="10" t="s">
        <v>96</v>
      </c>
      <c r="N10" s="15"/>
      <c r="O10" s="10"/>
    </row>
    <row r="11" customFormat="false" ht="29.85" hidden="false" customHeight="false" outlineLevel="0" collapsed="false">
      <c r="A11" s="9" t="s">
        <v>362</v>
      </c>
      <c r="B11" s="10" t="s">
        <v>350</v>
      </c>
      <c r="C11" s="9" t="s">
        <v>37</v>
      </c>
      <c r="D11" s="9" t="s">
        <v>94</v>
      </c>
      <c r="E11" s="9" t="s">
        <v>363</v>
      </c>
      <c r="F11" s="9" t="s">
        <v>339</v>
      </c>
      <c r="G11" s="10" t="s">
        <v>77</v>
      </c>
      <c r="H11" s="10" t="s">
        <v>97</v>
      </c>
      <c r="I11" s="11" t="n">
        <v>1</v>
      </c>
      <c r="J11" s="9" t="s">
        <v>340</v>
      </c>
      <c r="K11" s="10" t="s">
        <v>341</v>
      </c>
      <c r="L11" s="10" t="s">
        <v>99</v>
      </c>
      <c r="M11" s="10" t="s">
        <v>96</v>
      </c>
      <c r="N11" s="15"/>
      <c r="O11" s="10"/>
    </row>
    <row r="12" customFormat="false" ht="15" hidden="false" customHeight="false" outlineLevel="0" collapsed="false">
      <c r="A12" s="9" t="s">
        <v>364</v>
      </c>
      <c r="B12" s="10" t="s">
        <v>350</v>
      </c>
      <c r="C12" s="9" t="s">
        <v>37</v>
      </c>
      <c r="D12" s="9" t="s">
        <v>94</v>
      </c>
      <c r="E12" s="9" t="s">
        <v>365</v>
      </c>
      <c r="F12" s="9" t="s">
        <v>366</v>
      </c>
      <c r="G12" s="10" t="s">
        <v>78</v>
      </c>
      <c r="H12" s="10" t="s">
        <v>97</v>
      </c>
      <c r="I12" s="11" t="n">
        <v>8</v>
      </c>
      <c r="J12" s="9" t="s">
        <v>356</v>
      </c>
      <c r="K12" s="10" t="s">
        <v>367</v>
      </c>
      <c r="L12" s="10" t="s">
        <v>99</v>
      </c>
      <c r="M12" s="10" t="s">
        <v>96</v>
      </c>
      <c r="N12" s="15"/>
      <c r="O12" s="10"/>
    </row>
    <row r="13" customFormat="false" ht="29.85" hidden="false" customHeight="false" outlineLevel="0" collapsed="false">
      <c r="A13" s="9" t="s">
        <v>368</v>
      </c>
      <c r="B13" s="10" t="s">
        <v>337</v>
      </c>
      <c r="C13" s="9" t="s">
        <v>37</v>
      </c>
      <c r="D13" s="9" t="s">
        <v>100</v>
      </c>
      <c r="E13" s="9" t="s">
        <v>369</v>
      </c>
      <c r="F13" s="9" t="s">
        <v>339</v>
      </c>
      <c r="G13" s="10" t="s">
        <v>77</v>
      </c>
      <c r="H13" s="10" t="s">
        <v>91</v>
      </c>
      <c r="I13" s="11" t="n">
        <v>1</v>
      </c>
      <c r="J13" s="9" t="s">
        <v>340</v>
      </c>
      <c r="K13" s="10" t="s">
        <v>341</v>
      </c>
      <c r="L13" s="10" t="s">
        <v>99</v>
      </c>
      <c r="M13" s="10" t="s">
        <v>102</v>
      </c>
      <c r="N13" s="15"/>
      <c r="O13" s="10"/>
    </row>
    <row r="14" customFormat="false" ht="15" hidden="false" customHeight="false" outlineLevel="0" collapsed="false">
      <c r="A14" s="9" t="s">
        <v>370</v>
      </c>
      <c r="B14" s="10" t="s">
        <v>337</v>
      </c>
      <c r="C14" s="9" t="s">
        <v>37</v>
      </c>
      <c r="D14" s="9" t="s">
        <v>100</v>
      </c>
      <c r="E14" s="9" t="s">
        <v>371</v>
      </c>
      <c r="F14" s="9" t="s">
        <v>339</v>
      </c>
      <c r="G14" s="10" t="s">
        <v>76</v>
      </c>
      <c r="H14" s="10" t="s">
        <v>91</v>
      </c>
      <c r="I14" s="11" t="n">
        <v>1</v>
      </c>
      <c r="J14" s="9" t="s">
        <v>340</v>
      </c>
      <c r="K14" s="10" t="s">
        <v>348</v>
      </c>
      <c r="L14" s="10" t="s">
        <v>99</v>
      </c>
      <c r="M14" s="10" t="s">
        <v>102</v>
      </c>
      <c r="N14" s="15"/>
      <c r="O14" s="10"/>
    </row>
    <row r="15" customFormat="false" ht="29.85" hidden="false" customHeight="false" outlineLevel="0" collapsed="false">
      <c r="A15" s="9" t="s">
        <v>372</v>
      </c>
      <c r="B15" s="10" t="s">
        <v>350</v>
      </c>
      <c r="C15" s="9" t="s">
        <v>37</v>
      </c>
      <c r="D15" s="9" t="s">
        <v>100</v>
      </c>
      <c r="E15" s="9" t="s">
        <v>373</v>
      </c>
      <c r="F15" s="9" t="s">
        <v>339</v>
      </c>
      <c r="G15" s="10" t="s">
        <v>75</v>
      </c>
      <c r="H15" s="10" t="s">
        <v>91</v>
      </c>
      <c r="I15" s="11" t="n">
        <v>1</v>
      </c>
      <c r="J15" s="9" t="s">
        <v>340</v>
      </c>
      <c r="K15" s="10" t="s">
        <v>344</v>
      </c>
      <c r="L15" s="10" t="s">
        <v>99</v>
      </c>
      <c r="M15" s="10" t="s">
        <v>102</v>
      </c>
      <c r="N15" s="15"/>
      <c r="O15" s="10"/>
    </row>
    <row r="16" customFormat="false" ht="15" hidden="false" customHeight="false" outlineLevel="0" collapsed="false">
      <c r="A16" s="9" t="s">
        <v>374</v>
      </c>
      <c r="B16" s="10" t="s">
        <v>350</v>
      </c>
      <c r="C16" s="9" t="s">
        <v>37</v>
      </c>
      <c r="D16" s="9" t="s">
        <v>100</v>
      </c>
      <c r="E16" s="9" t="s">
        <v>375</v>
      </c>
      <c r="F16" s="9" t="s">
        <v>339</v>
      </c>
      <c r="G16" s="10" t="s">
        <v>79</v>
      </c>
      <c r="H16" s="10" t="s">
        <v>97</v>
      </c>
      <c r="I16" s="11" t="n">
        <v>1</v>
      </c>
      <c r="J16" s="9" t="s">
        <v>340</v>
      </c>
      <c r="K16" s="10" t="s">
        <v>352</v>
      </c>
      <c r="L16" s="10" t="s">
        <v>99</v>
      </c>
      <c r="M16" s="10" t="s">
        <v>102</v>
      </c>
      <c r="N16" s="15"/>
      <c r="O16" s="10"/>
    </row>
    <row r="17" customFormat="false" ht="29.85" hidden="false" customHeight="false" outlineLevel="0" collapsed="false">
      <c r="A17" s="9" t="s">
        <v>376</v>
      </c>
      <c r="B17" s="10" t="s">
        <v>337</v>
      </c>
      <c r="C17" s="9" t="s">
        <v>37</v>
      </c>
      <c r="D17" s="9" t="s">
        <v>104</v>
      </c>
      <c r="E17" s="9" t="s">
        <v>377</v>
      </c>
      <c r="F17" s="9" t="s">
        <v>339</v>
      </c>
      <c r="G17" s="10" t="s">
        <v>77</v>
      </c>
      <c r="H17" s="10" t="s">
        <v>91</v>
      </c>
      <c r="I17" s="11" t="n">
        <v>1</v>
      </c>
      <c r="J17" s="9" t="s">
        <v>340</v>
      </c>
      <c r="K17" s="10" t="s">
        <v>341</v>
      </c>
      <c r="L17" s="10" t="s">
        <v>108</v>
      </c>
      <c r="M17" s="10" t="s">
        <v>106</v>
      </c>
      <c r="N17" s="15"/>
      <c r="O17" s="10"/>
    </row>
    <row r="18" customFormat="false" ht="29.85" hidden="false" customHeight="false" outlineLevel="0" collapsed="false">
      <c r="A18" s="9" t="s">
        <v>378</v>
      </c>
      <c r="B18" s="10" t="s">
        <v>337</v>
      </c>
      <c r="C18" s="9" t="s">
        <v>37</v>
      </c>
      <c r="D18" s="9" t="s">
        <v>104</v>
      </c>
      <c r="E18" s="9" t="s">
        <v>379</v>
      </c>
      <c r="F18" s="9" t="s">
        <v>339</v>
      </c>
      <c r="G18" s="10" t="s">
        <v>75</v>
      </c>
      <c r="H18" s="10" t="s">
        <v>91</v>
      </c>
      <c r="I18" s="11" t="n">
        <v>1</v>
      </c>
      <c r="J18" s="9" t="s">
        <v>340</v>
      </c>
      <c r="K18" s="10" t="s">
        <v>344</v>
      </c>
      <c r="L18" s="10" t="s">
        <v>108</v>
      </c>
      <c r="M18" s="10" t="s">
        <v>106</v>
      </c>
      <c r="N18" s="15"/>
      <c r="O18" s="10"/>
    </row>
    <row r="19" customFormat="false" ht="29.85" hidden="false" customHeight="false" outlineLevel="0" collapsed="false">
      <c r="A19" s="9" t="s">
        <v>380</v>
      </c>
      <c r="B19" s="10" t="s">
        <v>350</v>
      </c>
      <c r="C19" s="9" t="s">
        <v>37</v>
      </c>
      <c r="D19" s="9" t="s">
        <v>104</v>
      </c>
      <c r="E19" s="9" t="s">
        <v>381</v>
      </c>
      <c r="F19" s="9" t="s">
        <v>339</v>
      </c>
      <c r="G19" s="10" t="s">
        <v>77</v>
      </c>
      <c r="H19" s="10" t="s">
        <v>91</v>
      </c>
      <c r="I19" s="11" t="n">
        <v>1</v>
      </c>
      <c r="J19" s="9" t="s">
        <v>340</v>
      </c>
      <c r="K19" s="10" t="s">
        <v>341</v>
      </c>
      <c r="L19" s="10" t="s">
        <v>108</v>
      </c>
      <c r="M19" s="10" t="s">
        <v>106</v>
      </c>
      <c r="N19" s="15"/>
      <c r="O19" s="10"/>
    </row>
    <row r="20" customFormat="false" ht="15" hidden="false" customHeight="false" outlineLevel="0" collapsed="false">
      <c r="A20" s="9" t="s">
        <v>382</v>
      </c>
      <c r="B20" s="10" t="s">
        <v>350</v>
      </c>
      <c r="C20" s="9" t="s">
        <v>37</v>
      </c>
      <c r="D20" s="9" t="s">
        <v>104</v>
      </c>
      <c r="E20" s="9" t="s">
        <v>383</v>
      </c>
      <c r="F20" s="9" t="s">
        <v>384</v>
      </c>
      <c r="G20" s="10" t="s">
        <v>79</v>
      </c>
      <c r="H20" s="10" t="s">
        <v>97</v>
      </c>
      <c r="I20" s="11" t="n">
        <v>3</v>
      </c>
      <c r="J20" s="9" t="s">
        <v>340</v>
      </c>
      <c r="K20" s="10" t="s">
        <v>352</v>
      </c>
      <c r="L20" s="10" t="s">
        <v>108</v>
      </c>
      <c r="M20" s="10" t="s">
        <v>106</v>
      </c>
      <c r="N20" s="15"/>
      <c r="O20" s="10"/>
    </row>
    <row r="21" customFormat="false" ht="15" hidden="false" customHeight="false" outlineLevel="0" collapsed="false">
      <c r="A21" s="9" t="s">
        <v>385</v>
      </c>
      <c r="B21" s="10" t="s">
        <v>350</v>
      </c>
      <c r="C21" s="9" t="s">
        <v>37</v>
      </c>
      <c r="D21" s="9" t="s">
        <v>104</v>
      </c>
      <c r="E21" s="9" t="s">
        <v>386</v>
      </c>
      <c r="F21" s="9" t="s">
        <v>339</v>
      </c>
      <c r="G21" s="10" t="s">
        <v>78</v>
      </c>
      <c r="H21" s="10" t="s">
        <v>91</v>
      </c>
      <c r="I21" s="11" t="n">
        <v>1</v>
      </c>
      <c r="J21" s="9" t="s">
        <v>340</v>
      </c>
      <c r="K21" s="10" t="s">
        <v>367</v>
      </c>
      <c r="L21" s="10" t="s">
        <v>108</v>
      </c>
      <c r="M21" s="10" t="s">
        <v>106</v>
      </c>
      <c r="N21" s="15"/>
      <c r="O21" s="10"/>
    </row>
    <row r="22" customFormat="false" ht="29.85" hidden="false" customHeight="false" outlineLevel="0" collapsed="false">
      <c r="A22" s="9" t="s">
        <v>387</v>
      </c>
      <c r="B22" s="10" t="s">
        <v>337</v>
      </c>
      <c r="C22" s="9" t="s">
        <v>39</v>
      </c>
      <c r="D22" s="9" t="s">
        <v>109</v>
      </c>
      <c r="E22" s="9" t="s">
        <v>388</v>
      </c>
      <c r="F22" s="9" t="s">
        <v>366</v>
      </c>
      <c r="G22" s="10" t="s">
        <v>77</v>
      </c>
      <c r="H22" s="10" t="s">
        <v>91</v>
      </c>
      <c r="I22" s="11" t="n">
        <v>8</v>
      </c>
      <c r="J22" s="9" t="s">
        <v>356</v>
      </c>
      <c r="K22" s="10" t="s">
        <v>341</v>
      </c>
      <c r="L22" s="10" t="s">
        <v>113</v>
      </c>
      <c r="M22" s="10" t="s">
        <v>111</v>
      </c>
      <c r="N22" s="15"/>
      <c r="O22" s="10"/>
    </row>
    <row r="23" customFormat="false" ht="29.85" hidden="false" customHeight="false" outlineLevel="0" collapsed="false">
      <c r="A23" s="9" t="s">
        <v>389</v>
      </c>
      <c r="B23" s="10" t="s">
        <v>337</v>
      </c>
      <c r="C23" s="9" t="s">
        <v>39</v>
      </c>
      <c r="D23" s="9" t="s">
        <v>109</v>
      </c>
      <c r="E23" s="9" t="s">
        <v>390</v>
      </c>
      <c r="F23" s="9" t="s">
        <v>339</v>
      </c>
      <c r="G23" s="10" t="s">
        <v>77</v>
      </c>
      <c r="H23" s="10" t="s">
        <v>91</v>
      </c>
      <c r="I23" s="11" t="n">
        <v>1</v>
      </c>
      <c r="J23" s="9" t="s">
        <v>340</v>
      </c>
      <c r="K23" s="10" t="s">
        <v>341</v>
      </c>
      <c r="L23" s="10" t="s">
        <v>113</v>
      </c>
      <c r="M23" s="10" t="s">
        <v>111</v>
      </c>
      <c r="N23" s="15"/>
      <c r="O23" s="10"/>
    </row>
    <row r="24" customFormat="false" ht="15" hidden="false" customHeight="false" outlineLevel="0" collapsed="false">
      <c r="A24" s="9" t="s">
        <v>391</v>
      </c>
      <c r="B24" s="10" t="s">
        <v>337</v>
      </c>
      <c r="C24" s="9" t="s">
        <v>39</v>
      </c>
      <c r="D24" s="9" t="s">
        <v>109</v>
      </c>
      <c r="E24" s="9" t="s">
        <v>392</v>
      </c>
      <c r="F24" s="9" t="s">
        <v>339</v>
      </c>
      <c r="G24" s="10" t="s">
        <v>79</v>
      </c>
      <c r="H24" s="10" t="s">
        <v>131</v>
      </c>
      <c r="I24" s="11" t="n">
        <v>1</v>
      </c>
      <c r="J24" s="9" t="s">
        <v>340</v>
      </c>
      <c r="K24" s="10" t="s">
        <v>352</v>
      </c>
      <c r="L24" s="10" t="s">
        <v>113</v>
      </c>
      <c r="M24" s="10" t="s">
        <v>111</v>
      </c>
      <c r="N24" s="15"/>
      <c r="O24" s="10"/>
    </row>
    <row r="25" customFormat="false" ht="29.85" hidden="false" customHeight="false" outlineLevel="0" collapsed="false">
      <c r="A25" s="9" t="s">
        <v>393</v>
      </c>
      <c r="B25" s="10" t="s">
        <v>350</v>
      </c>
      <c r="C25" s="9" t="s">
        <v>39</v>
      </c>
      <c r="D25" s="9" t="s">
        <v>109</v>
      </c>
      <c r="E25" s="9" t="s">
        <v>394</v>
      </c>
      <c r="F25" s="9" t="s">
        <v>395</v>
      </c>
      <c r="G25" s="10" t="s">
        <v>76</v>
      </c>
      <c r="H25" s="10" t="s">
        <v>91</v>
      </c>
      <c r="I25" s="11" t="n">
        <v>8</v>
      </c>
      <c r="J25" s="9" t="s">
        <v>340</v>
      </c>
      <c r="K25" s="10" t="s">
        <v>348</v>
      </c>
      <c r="L25" s="10" t="s">
        <v>113</v>
      </c>
      <c r="M25" s="10" t="s">
        <v>111</v>
      </c>
      <c r="N25" s="15"/>
      <c r="O25" s="10"/>
    </row>
    <row r="26" customFormat="false" ht="15" hidden="false" customHeight="false" outlineLevel="0" collapsed="false">
      <c r="A26" s="9" t="s">
        <v>396</v>
      </c>
      <c r="B26" s="10" t="s">
        <v>350</v>
      </c>
      <c r="C26" s="9" t="s">
        <v>39</v>
      </c>
      <c r="D26" s="9" t="s">
        <v>109</v>
      </c>
      <c r="E26" s="9" t="s">
        <v>397</v>
      </c>
      <c r="F26" s="9" t="s">
        <v>339</v>
      </c>
      <c r="G26" s="10" t="s">
        <v>78</v>
      </c>
      <c r="H26" s="10" t="s">
        <v>91</v>
      </c>
      <c r="I26" s="11" t="n">
        <v>1</v>
      </c>
      <c r="J26" s="9" t="s">
        <v>340</v>
      </c>
      <c r="K26" s="10" t="s">
        <v>367</v>
      </c>
      <c r="L26" s="10" t="s">
        <v>113</v>
      </c>
      <c r="M26" s="10" t="s">
        <v>111</v>
      </c>
      <c r="N26" s="15"/>
      <c r="O26" s="10"/>
    </row>
    <row r="27" customFormat="false" ht="15" hidden="false" customHeight="false" outlineLevel="0" collapsed="false">
      <c r="A27" s="9" t="s">
        <v>398</v>
      </c>
      <c r="B27" s="10" t="s">
        <v>337</v>
      </c>
      <c r="C27" s="9" t="s">
        <v>39</v>
      </c>
      <c r="D27" s="9" t="s">
        <v>114</v>
      </c>
      <c r="E27" s="9" t="s">
        <v>399</v>
      </c>
      <c r="F27" s="9" t="s">
        <v>339</v>
      </c>
      <c r="G27" s="10" t="s">
        <v>76</v>
      </c>
      <c r="H27" s="10" t="s">
        <v>91</v>
      </c>
      <c r="I27" s="11" t="n">
        <v>1</v>
      </c>
      <c r="J27" s="9" t="s">
        <v>340</v>
      </c>
      <c r="K27" s="10" t="s">
        <v>348</v>
      </c>
      <c r="L27" s="10" t="s">
        <v>118</v>
      </c>
      <c r="M27" s="10" t="s">
        <v>116</v>
      </c>
      <c r="N27" s="15"/>
      <c r="O27" s="10"/>
    </row>
    <row r="28" customFormat="false" ht="29.85" hidden="false" customHeight="false" outlineLevel="0" collapsed="false">
      <c r="A28" s="9" t="s">
        <v>400</v>
      </c>
      <c r="B28" s="10" t="s">
        <v>337</v>
      </c>
      <c r="C28" s="9" t="s">
        <v>39</v>
      </c>
      <c r="D28" s="9" t="s">
        <v>114</v>
      </c>
      <c r="E28" s="9" t="s">
        <v>401</v>
      </c>
      <c r="F28" s="9" t="s">
        <v>402</v>
      </c>
      <c r="G28" s="10" t="s">
        <v>79</v>
      </c>
      <c r="H28" s="10" t="s">
        <v>91</v>
      </c>
      <c r="I28" s="11" t="n">
        <v>10</v>
      </c>
      <c r="J28" s="9" t="s">
        <v>340</v>
      </c>
      <c r="K28" s="10" t="s">
        <v>352</v>
      </c>
      <c r="L28" s="10" t="s">
        <v>118</v>
      </c>
      <c r="M28" s="10" t="s">
        <v>116</v>
      </c>
      <c r="N28" s="15"/>
      <c r="O28" s="10"/>
    </row>
    <row r="29" customFormat="false" ht="29.85" hidden="false" customHeight="false" outlineLevel="0" collapsed="false">
      <c r="A29" s="9" t="s">
        <v>403</v>
      </c>
      <c r="B29" s="10" t="s">
        <v>350</v>
      </c>
      <c r="C29" s="9" t="s">
        <v>39</v>
      </c>
      <c r="D29" s="9" t="s">
        <v>114</v>
      </c>
      <c r="E29" s="9" t="s">
        <v>404</v>
      </c>
      <c r="F29" s="9" t="s">
        <v>339</v>
      </c>
      <c r="G29" s="10" t="s">
        <v>77</v>
      </c>
      <c r="H29" s="10" t="s">
        <v>91</v>
      </c>
      <c r="I29" s="11" t="n">
        <v>1</v>
      </c>
      <c r="J29" s="9" t="s">
        <v>340</v>
      </c>
      <c r="K29" s="10" t="s">
        <v>341</v>
      </c>
      <c r="L29" s="10" t="s">
        <v>118</v>
      </c>
      <c r="M29" s="10" t="s">
        <v>116</v>
      </c>
      <c r="N29" s="15"/>
      <c r="O29" s="10"/>
    </row>
    <row r="30" customFormat="false" ht="29.85" hidden="false" customHeight="false" outlineLevel="0" collapsed="false">
      <c r="A30" s="9" t="s">
        <v>405</v>
      </c>
      <c r="B30" s="10" t="s">
        <v>350</v>
      </c>
      <c r="C30" s="9" t="s">
        <v>39</v>
      </c>
      <c r="D30" s="9" t="s">
        <v>114</v>
      </c>
      <c r="E30" s="9" t="s">
        <v>406</v>
      </c>
      <c r="F30" s="9" t="s">
        <v>339</v>
      </c>
      <c r="G30" s="10" t="s">
        <v>75</v>
      </c>
      <c r="H30" s="10" t="s">
        <v>97</v>
      </c>
      <c r="I30" s="11" t="n">
        <v>1</v>
      </c>
      <c r="J30" s="9" t="s">
        <v>340</v>
      </c>
      <c r="K30" s="10" t="s">
        <v>344</v>
      </c>
      <c r="L30" s="10" t="s">
        <v>118</v>
      </c>
      <c r="M30" s="10" t="s">
        <v>116</v>
      </c>
      <c r="N30" s="15"/>
      <c r="O30" s="10"/>
    </row>
    <row r="31" customFormat="false" ht="29.85" hidden="false" customHeight="false" outlineLevel="0" collapsed="false">
      <c r="A31" s="9" t="s">
        <v>407</v>
      </c>
      <c r="B31" s="10" t="s">
        <v>350</v>
      </c>
      <c r="C31" s="9" t="s">
        <v>39</v>
      </c>
      <c r="D31" s="9" t="s">
        <v>114</v>
      </c>
      <c r="E31" s="9" t="s">
        <v>408</v>
      </c>
      <c r="F31" s="9" t="s">
        <v>339</v>
      </c>
      <c r="G31" s="10" t="s">
        <v>77</v>
      </c>
      <c r="H31" s="10" t="s">
        <v>91</v>
      </c>
      <c r="I31" s="11" t="n">
        <v>1</v>
      </c>
      <c r="J31" s="9" t="s">
        <v>340</v>
      </c>
      <c r="K31" s="10" t="s">
        <v>341</v>
      </c>
      <c r="L31" s="10" t="s">
        <v>118</v>
      </c>
      <c r="M31" s="10" t="s">
        <v>116</v>
      </c>
      <c r="N31" s="15"/>
      <c r="O31" s="10"/>
    </row>
    <row r="32" customFormat="false" ht="15" hidden="false" customHeight="false" outlineLevel="0" collapsed="false">
      <c r="A32" s="9" t="s">
        <v>409</v>
      </c>
      <c r="B32" s="10" t="s">
        <v>337</v>
      </c>
      <c r="C32" s="9" t="s">
        <v>39</v>
      </c>
      <c r="D32" s="9" t="s">
        <v>119</v>
      </c>
      <c r="E32" s="9" t="s">
        <v>410</v>
      </c>
      <c r="F32" s="9" t="s">
        <v>411</v>
      </c>
      <c r="G32" s="10" t="s">
        <v>76</v>
      </c>
      <c r="H32" s="10" t="s">
        <v>91</v>
      </c>
      <c r="I32" s="11" t="n">
        <v>2</v>
      </c>
      <c r="J32" s="9" t="s">
        <v>340</v>
      </c>
      <c r="K32" s="10" t="s">
        <v>348</v>
      </c>
      <c r="L32" s="10" t="s">
        <v>123</v>
      </c>
      <c r="M32" s="10" t="s">
        <v>121</v>
      </c>
      <c r="N32" s="15"/>
      <c r="O32" s="10"/>
    </row>
    <row r="33" customFormat="false" ht="15" hidden="false" customHeight="false" outlineLevel="0" collapsed="false">
      <c r="A33" s="9" t="s">
        <v>412</v>
      </c>
      <c r="B33" s="10" t="s">
        <v>337</v>
      </c>
      <c r="C33" s="9" t="s">
        <v>39</v>
      </c>
      <c r="D33" s="9" t="s">
        <v>119</v>
      </c>
      <c r="E33" s="9" t="s">
        <v>413</v>
      </c>
      <c r="F33" s="9" t="s">
        <v>414</v>
      </c>
      <c r="G33" s="10" t="s">
        <v>79</v>
      </c>
      <c r="H33" s="10" t="s">
        <v>97</v>
      </c>
      <c r="I33" s="11" t="n">
        <v>3</v>
      </c>
      <c r="J33" s="9" t="s">
        <v>340</v>
      </c>
      <c r="K33" s="10" t="s">
        <v>352</v>
      </c>
      <c r="L33" s="10" t="s">
        <v>123</v>
      </c>
      <c r="M33" s="10" t="s">
        <v>121</v>
      </c>
      <c r="N33" s="15"/>
      <c r="O33" s="10"/>
    </row>
    <row r="34" customFormat="false" ht="29.85" hidden="false" customHeight="false" outlineLevel="0" collapsed="false">
      <c r="A34" s="9" t="s">
        <v>415</v>
      </c>
      <c r="B34" s="10" t="s">
        <v>350</v>
      </c>
      <c r="C34" s="9" t="s">
        <v>39</v>
      </c>
      <c r="D34" s="9" t="s">
        <v>119</v>
      </c>
      <c r="E34" s="9" t="s">
        <v>416</v>
      </c>
      <c r="F34" s="9" t="s">
        <v>417</v>
      </c>
      <c r="G34" s="10" t="s">
        <v>75</v>
      </c>
      <c r="H34" s="10" t="s">
        <v>97</v>
      </c>
      <c r="I34" s="11" t="n">
        <v>6</v>
      </c>
      <c r="J34" s="9" t="s">
        <v>340</v>
      </c>
      <c r="K34" s="10" t="s">
        <v>344</v>
      </c>
      <c r="L34" s="10" t="s">
        <v>123</v>
      </c>
      <c r="M34" s="10" t="s">
        <v>121</v>
      </c>
      <c r="N34" s="15"/>
      <c r="O34" s="10"/>
    </row>
    <row r="35" customFormat="false" ht="29.85" hidden="false" customHeight="false" outlineLevel="0" collapsed="false">
      <c r="A35" s="9" t="s">
        <v>418</v>
      </c>
      <c r="B35" s="10" t="s">
        <v>350</v>
      </c>
      <c r="C35" s="9" t="s">
        <v>39</v>
      </c>
      <c r="D35" s="9" t="s">
        <v>119</v>
      </c>
      <c r="E35" s="9" t="s">
        <v>419</v>
      </c>
      <c r="F35" s="9" t="s">
        <v>339</v>
      </c>
      <c r="G35" s="10" t="s">
        <v>77</v>
      </c>
      <c r="H35" s="10" t="s">
        <v>91</v>
      </c>
      <c r="I35" s="11" t="n">
        <v>1</v>
      </c>
      <c r="J35" s="9" t="s">
        <v>340</v>
      </c>
      <c r="K35" s="10" t="s">
        <v>341</v>
      </c>
      <c r="L35" s="10" t="s">
        <v>123</v>
      </c>
      <c r="M35" s="10" t="s">
        <v>121</v>
      </c>
      <c r="N35" s="15"/>
      <c r="O35" s="10"/>
    </row>
    <row r="36" customFormat="false" ht="15" hidden="false" customHeight="false" outlineLevel="0" collapsed="false">
      <c r="A36" s="9" t="s">
        <v>420</v>
      </c>
      <c r="B36" s="10" t="s">
        <v>337</v>
      </c>
      <c r="C36" s="9" t="s">
        <v>39</v>
      </c>
      <c r="D36" s="9" t="s">
        <v>124</v>
      </c>
      <c r="E36" s="9" t="s">
        <v>421</v>
      </c>
      <c r="F36" s="9" t="s">
        <v>422</v>
      </c>
      <c r="G36" s="10" t="s">
        <v>79</v>
      </c>
      <c r="H36" s="10" t="s">
        <v>97</v>
      </c>
      <c r="I36" s="11" t="n">
        <v>4</v>
      </c>
      <c r="J36" s="9" t="s">
        <v>340</v>
      </c>
      <c r="K36" s="10" t="s">
        <v>352</v>
      </c>
      <c r="L36" s="10" t="s">
        <v>127</v>
      </c>
      <c r="M36" s="10" t="s">
        <v>121</v>
      </c>
      <c r="N36" s="15"/>
      <c r="O36" s="10"/>
    </row>
    <row r="37" customFormat="false" ht="29.85" hidden="false" customHeight="false" outlineLevel="0" collapsed="false">
      <c r="A37" s="9" t="s">
        <v>423</v>
      </c>
      <c r="B37" s="10" t="s">
        <v>337</v>
      </c>
      <c r="C37" s="9" t="s">
        <v>39</v>
      </c>
      <c r="D37" s="9" t="s">
        <v>124</v>
      </c>
      <c r="E37" s="9" t="s">
        <v>424</v>
      </c>
      <c r="F37" s="9" t="s">
        <v>339</v>
      </c>
      <c r="G37" s="10" t="s">
        <v>77</v>
      </c>
      <c r="H37" s="10" t="s">
        <v>97</v>
      </c>
      <c r="I37" s="11" t="n">
        <v>1</v>
      </c>
      <c r="J37" s="9" t="s">
        <v>340</v>
      </c>
      <c r="K37" s="10" t="s">
        <v>341</v>
      </c>
      <c r="L37" s="10" t="s">
        <v>127</v>
      </c>
      <c r="M37" s="10" t="s">
        <v>121</v>
      </c>
      <c r="N37" s="15"/>
      <c r="O37" s="10"/>
    </row>
    <row r="38" customFormat="false" ht="29.85" hidden="false" customHeight="false" outlineLevel="0" collapsed="false">
      <c r="A38" s="9" t="s">
        <v>425</v>
      </c>
      <c r="B38" s="10" t="s">
        <v>350</v>
      </c>
      <c r="C38" s="9" t="s">
        <v>39</v>
      </c>
      <c r="D38" s="9" t="s">
        <v>124</v>
      </c>
      <c r="E38" s="9" t="s">
        <v>426</v>
      </c>
      <c r="F38" s="9" t="s">
        <v>339</v>
      </c>
      <c r="G38" s="10" t="s">
        <v>75</v>
      </c>
      <c r="H38" s="10" t="s">
        <v>97</v>
      </c>
      <c r="I38" s="11" t="n">
        <v>1</v>
      </c>
      <c r="J38" s="9" t="s">
        <v>340</v>
      </c>
      <c r="K38" s="10" t="s">
        <v>344</v>
      </c>
      <c r="L38" s="10" t="s">
        <v>127</v>
      </c>
      <c r="M38" s="10" t="s">
        <v>121</v>
      </c>
      <c r="N38" s="15"/>
      <c r="O38" s="10"/>
    </row>
    <row r="39" customFormat="false" ht="29.85" hidden="false" customHeight="false" outlineLevel="0" collapsed="false">
      <c r="A39" s="9" t="s">
        <v>427</v>
      </c>
      <c r="B39" s="10" t="s">
        <v>350</v>
      </c>
      <c r="C39" s="9" t="s">
        <v>39</v>
      </c>
      <c r="D39" s="9" t="s">
        <v>124</v>
      </c>
      <c r="E39" s="9" t="s">
        <v>428</v>
      </c>
      <c r="F39" s="9" t="s">
        <v>339</v>
      </c>
      <c r="G39" s="10" t="s">
        <v>75</v>
      </c>
      <c r="H39" s="10" t="s">
        <v>97</v>
      </c>
      <c r="I39" s="11" t="n">
        <v>1</v>
      </c>
      <c r="J39" s="9" t="s">
        <v>340</v>
      </c>
      <c r="K39" s="10" t="s">
        <v>344</v>
      </c>
      <c r="L39" s="10" t="s">
        <v>127</v>
      </c>
      <c r="M39" s="10" t="s">
        <v>121</v>
      </c>
      <c r="N39" s="15"/>
      <c r="O39" s="10"/>
    </row>
    <row r="40" customFormat="false" ht="29.85" hidden="false" customHeight="false" outlineLevel="0" collapsed="false">
      <c r="A40" s="9" t="s">
        <v>429</v>
      </c>
      <c r="B40" s="10" t="s">
        <v>337</v>
      </c>
      <c r="C40" s="9" t="s">
        <v>41</v>
      </c>
      <c r="D40" s="9" t="s">
        <v>128</v>
      </c>
      <c r="E40" s="9" t="s">
        <v>430</v>
      </c>
      <c r="F40" s="9" t="s">
        <v>339</v>
      </c>
      <c r="G40" s="10" t="s">
        <v>77</v>
      </c>
      <c r="H40" s="10" t="s">
        <v>131</v>
      </c>
      <c r="I40" s="11" t="n">
        <v>1</v>
      </c>
      <c r="J40" s="9" t="s">
        <v>340</v>
      </c>
      <c r="K40" s="10" t="s">
        <v>341</v>
      </c>
      <c r="L40" s="10" t="s">
        <v>133</v>
      </c>
      <c r="M40" s="10" t="s">
        <v>130</v>
      </c>
      <c r="N40" s="15"/>
      <c r="O40" s="10"/>
    </row>
    <row r="41" customFormat="false" ht="29.85" hidden="false" customHeight="false" outlineLevel="0" collapsed="false">
      <c r="A41" s="9" t="s">
        <v>431</v>
      </c>
      <c r="B41" s="10" t="s">
        <v>337</v>
      </c>
      <c r="C41" s="9" t="s">
        <v>41</v>
      </c>
      <c r="D41" s="9" t="s">
        <v>128</v>
      </c>
      <c r="E41" s="9" t="s">
        <v>432</v>
      </c>
      <c r="F41" s="9" t="s">
        <v>433</v>
      </c>
      <c r="G41" s="10" t="s">
        <v>79</v>
      </c>
      <c r="H41" s="10" t="s">
        <v>131</v>
      </c>
      <c r="I41" s="11" t="n">
        <v>6</v>
      </c>
      <c r="J41" s="9" t="s">
        <v>340</v>
      </c>
      <c r="K41" s="10" t="s">
        <v>352</v>
      </c>
      <c r="L41" s="10" t="s">
        <v>133</v>
      </c>
      <c r="M41" s="10" t="s">
        <v>130</v>
      </c>
      <c r="N41" s="15"/>
      <c r="O41" s="10"/>
    </row>
    <row r="42" customFormat="false" ht="15" hidden="false" customHeight="false" outlineLevel="0" collapsed="false">
      <c r="A42" s="9" t="s">
        <v>434</v>
      </c>
      <c r="B42" s="10" t="s">
        <v>337</v>
      </c>
      <c r="C42" s="9" t="s">
        <v>41</v>
      </c>
      <c r="D42" s="9" t="s">
        <v>128</v>
      </c>
      <c r="E42" s="9" t="s">
        <v>435</v>
      </c>
      <c r="F42" s="9" t="s">
        <v>339</v>
      </c>
      <c r="G42" s="10" t="s">
        <v>76</v>
      </c>
      <c r="H42" s="10" t="s">
        <v>131</v>
      </c>
      <c r="I42" s="11" t="n">
        <v>1</v>
      </c>
      <c r="J42" s="9" t="s">
        <v>340</v>
      </c>
      <c r="K42" s="10" t="s">
        <v>348</v>
      </c>
      <c r="L42" s="10" t="s">
        <v>133</v>
      </c>
      <c r="M42" s="10" t="s">
        <v>130</v>
      </c>
      <c r="N42" s="15"/>
      <c r="O42" s="10"/>
    </row>
    <row r="43" customFormat="false" ht="15" hidden="false" customHeight="false" outlineLevel="0" collapsed="false">
      <c r="A43" s="9" t="s">
        <v>436</v>
      </c>
      <c r="B43" s="10" t="s">
        <v>350</v>
      </c>
      <c r="C43" s="9" t="s">
        <v>41</v>
      </c>
      <c r="D43" s="9" t="s">
        <v>128</v>
      </c>
      <c r="E43" s="9" t="s">
        <v>437</v>
      </c>
      <c r="F43" s="9" t="s">
        <v>339</v>
      </c>
      <c r="G43" s="10" t="s">
        <v>76</v>
      </c>
      <c r="H43" s="10" t="s">
        <v>91</v>
      </c>
      <c r="I43" s="11" t="n">
        <v>1</v>
      </c>
      <c r="J43" s="9" t="s">
        <v>340</v>
      </c>
      <c r="K43" s="10" t="s">
        <v>348</v>
      </c>
      <c r="L43" s="10" t="s">
        <v>133</v>
      </c>
      <c r="M43" s="10" t="s">
        <v>130</v>
      </c>
      <c r="N43" s="15"/>
      <c r="O43" s="10"/>
    </row>
    <row r="44" customFormat="false" ht="29.85" hidden="false" customHeight="false" outlineLevel="0" collapsed="false">
      <c r="A44" s="9" t="s">
        <v>438</v>
      </c>
      <c r="B44" s="10" t="s">
        <v>350</v>
      </c>
      <c r="C44" s="9" t="s">
        <v>41</v>
      </c>
      <c r="D44" s="9" t="s">
        <v>128</v>
      </c>
      <c r="E44" s="9" t="s">
        <v>439</v>
      </c>
      <c r="F44" s="9" t="s">
        <v>339</v>
      </c>
      <c r="G44" s="10" t="s">
        <v>77</v>
      </c>
      <c r="H44" s="10" t="s">
        <v>131</v>
      </c>
      <c r="I44" s="11" t="n">
        <v>1</v>
      </c>
      <c r="J44" s="9" t="s">
        <v>340</v>
      </c>
      <c r="K44" s="10" t="s">
        <v>341</v>
      </c>
      <c r="L44" s="10" t="s">
        <v>133</v>
      </c>
      <c r="M44" s="10" t="s">
        <v>130</v>
      </c>
      <c r="N44" s="15"/>
      <c r="O44" s="10"/>
    </row>
    <row r="45" customFormat="false" ht="15" hidden="false" customHeight="false" outlineLevel="0" collapsed="false">
      <c r="A45" s="9" t="s">
        <v>440</v>
      </c>
      <c r="B45" s="10" t="s">
        <v>350</v>
      </c>
      <c r="C45" s="9" t="s">
        <v>41</v>
      </c>
      <c r="D45" s="9" t="s">
        <v>128</v>
      </c>
      <c r="E45" s="9" t="s">
        <v>441</v>
      </c>
      <c r="F45" s="9" t="s">
        <v>339</v>
      </c>
      <c r="G45" s="10" t="s">
        <v>78</v>
      </c>
      <c r="H45" s="10" t="s">
        <v>91</v>
      </c>
      <c r="I45" s="11" t="n">
        <v>1</v>
      </c>
      <c r="J45" s="9" t="s">
        <v>340</v>
      </c>
      <c r="K45" s="10" t="s">
        <v>367</v>
      </c>
      <c r="L45" s="10" t="s">
        <v>133</v>
      </c>
      <c r="M45" s="10" t="s">
        <v>130</v>
      </c>
      <c r="N45" s="15"/>
      <c r="O45" s="10"/>
    </row>
    <row r="46" customFormat="false" ht="15" hidden="false" customHeight="false" outlineLevel="0" collapsed="false">
      <c r="A46" s="9" t="s">
        <v>442</v>
      </c>
      <c r="B46" s="10" t="s">
        <v>337</v>
      </c>
      <c r="C46" s="9" t="s">
        <v>41</v>
      </c>
      <c r="D46" s="9" t="s">
        <v>134</v>
      </c>
      <c r="E46" s="9" t="s">
        <v>443</v>
      </c>
      <c r="F46" s="9" t="s">
        <v>339</v>
      </c>
      <c r="G46" s="10" t="s">
        <v>76</v>
      </c>
      <c r="H46" s="10" t="s">
        <v>91</v>
      </c>
      <c r="I46" s="11" t="n">
        <v>1</v>
      </c>
      <c r="J46" s="9" t="s">
        <v>340</v>
      </c>
      <c r="K46" s="10" t="s">
        <v>348</v>
      </c>
      <c r="L46" s="10" t="s">
        <v>138</v>
      </c>
      <c r="M46" s="10" t="s">
        <v>136</v>
      </c>
      <c r="N46" s="15"/>
      <c r="O46" s="10"/>
    </row>
    <row r="47" customFormat="false" ht="15" hidden="false" customHeight="false" outlineLevel="0" collapsed="false">
      <c r="A47" s="9" t="s">
        <v>444</v>
      </c>
      <c r="B47" s="10" t="s">
        <v>337</v>
      </c>
      <c r="C47" s="9" t="s">
        <v>41</v>
      </c>
      <c r="D47" s="9" t="s">
        <v>134</v>
      </c>
      <c r="E47" s="9" t="s">
        <v>445</v>
      </c>
      <c r="F47" s="9" t="s">
        <v>446</v>
      </c>
      <c r="G47" s="10" t="s">
        <v>79</v>
      </c>
      <c r="H47" s="10" t="s">
        <v>91</v>
      </c>
      <c r="I47" s="11" t="n">
        <v>3</v>
      </c>
      <c r="J47" s="9" t="s">
        <v>340</v>
      </c>
      <c r="K47" s="10" t="s">
        <v>352</v>
      </c>
      <c r="L47" s="10" t="s">
        <v>138</v>
      </c>
      <c r="M47" s="10" t="s">
        <v>136</v>
      </c>
      <c r="N47" s="15"/>
      <c r="O47" s="10"/>
    </row>
    <row r="48" customFormat="false" ht="29.85" hidden="false" customHeight="false" outlineLevel="0" collapsed="false">
      <c r="A48" s="9" t="s">
        <v>447</v>
      </c>
      <c r="B48" s="10" t="s">
        <v>350</v>
      </c>
      <c r="C48" s="9" t="s">
        <v>41</v>
      </c>
      <c r="D48" s="9" t="s">
        <v>134</v>
      </c>
      <c r="E48" s="9" t="s">
        <v>448</v>
      </c>
      <c r="F48" s="9" t="s">
        <v>339</v>
      </c>
      <c r="G48" s="10" t="s">
        <v>77</v>
      </c>
      <c r="H48" s="10" t="s">
        <v>91</v>
      </c>
      <c r="I48" s="11" t="n">
        <v>1</v>
      </c>
      <c r="J48" s="9" t="s">
        <v>340</v>
      </c>
      <c r="K48" s="10" t="s">
        <v>341</v>
      </c>
      <c r="L48" s="10" t="s">
        <v>138</v>
      </c>
      <c r="M48" s="10" t="s">
        <v>136</v>
      </c>
      <c r="N48" s="15"/>
      <c r="O48" s="10"/>
    </row>
    <row r="49" customFormat="false" ht="29.85" hidden="false" customHeight="false" outlineLevel="0" collapsed="false">
      <c r="A49" s="9" t="s">
        <v>449</v>
      </c>
      <c r="B49" s="10" t="s">
        <v>350</v>
      </c>
      <c r="C49" s="9" t="s">
        <v>41</v>
      </c>
      <c r="D49" s="9" t="s">
        <v>134</v>
      </c>
      <c r="E49" s="9" t="s">
        <v>450</v>
      </c>
      <c r="F49" s="9" t="s">
        <v>339</v>
      </c>
      <c r="G49" s="10" t="s">
        <v>76</v>
      </c>
      <c r="H49" s="10" t="s">
        <v>91</v>
      </c>
      <c r="I49" s="11" t="n">
        <v>1</v>
      </c>
      <c r="J49" s="9" t="s">
        <v>340</v>
      </c>
      <c r="K49" s="10" t="s">
        <v>348</v>
      </c>
      <c r="L49" s="10" t="s">
        <v>138</v>
      </c>
      <c r="M49" s="10" t="s">
        <v>136</v>
      </c>
      <c r="N49" s="15"/>
      <c r="O49" s="10"/>
    </row>
    <row r="50" customFormat="false" ht="15" hidden="false" customHeight="false" outlineLevel="0" collapsed="false">
      <c r="A50" s="9" t="s">
        <v>451</v>
      </c>
      <c r="B50" s="10" t="s">
        <v>337</v>
      </c>
      <c r="C50" s="9" t="s">
        <v>41</v>
      </c>
      <c r="D50" s="9" t="s">
        <v>139</v>
      </c>
      <c r="E50" s="9" t="s">
        <v>452</v>
      </c>
      <c r="F50" s="9" t="s">
        <v>453</v>
      </c>
      <c r="G50" s="10" t="s">
        <v>79</v>
      </c>
      <c r="H50" s="10" t="s">
        <v>97</v>
      </c>
      <c r="I50" s="11" t="n">
        <v>3</v>
      </c>
      <c r="J50" s="9" t="s">
        <v>340</v>
      </c>
      <c r="K50" s="10" t="s">
        <v>352</v>
      </c>
      <c r="L50" s="10" t="s">
        <v>142</v>
      </c>
      <c r="M50" s="10" t="s">
        <v>136</v>
      </c>
      <c r="N50" s="15"/>
      <c r="O50" s="10"/>
    </row>
    <row r="51" customFormat="false" ht="29.85" hidden="false" customHeight="false" outlineLevel="0" collapsed="false">
      <c r="A51" s="9" t="s">
        <v>454</v>
      </c>
      <c r="B51" s="10" t="s">
        <v>337</v>
      </c>
      <c r="C51" s="9" t="s">
        <v>41</v>
      </c>
      <c r="D51" s="9" t="s">
        <v>139</v>
      </c>
      <c r="E51" s="9" t="s">
        <v>455</v>
      </c>
      <c r="F51" s="9" t="s">
        <v>456</v>
      </c>
      <c r="G51" s="10" t="s">
        <v>75</v>
      </c>
      <c r="H51" s="10" t="s">
        <v>97</v>
      </c>
      <c r="I51" s="11" t="n">
        <v>5</v>
      </c>
      <c r="J51" s="9" t="s">
        <v>340</v>
      </c>
      <c r="K51" s="10" t="s">
        <v>344</v>
      </c>
      <c r="L51" s="10" t="s">
        <v>142</v>
      </c>
      <c r="M51" s="10" t="s">
        <v>136</v>
      </c>
      <c r="N51" s="15"/>
      <c r="O51" s="10"/>
    </row>
    <row r="52" customFormat="false" ht="29.85" hidden="false" customHeight="false" outlineLevel="0" collapsed="false">
      <c r="A52" s="9" t="s">
        <v>457</v>
      </c>
      <c r="B52" s="10" t="s">
        <v>350</v>
      </c>
      <c r="C52" s="9" t="s">
        <v>41</v>
      </c>
      <c r="D52" s="9" t="s">
        <v>139</v>
      </c>
      <c r="E52" s="9" t="s">
        <v>458</v>
      </c>
      <c r="F52" s="9" t="s">
        <v>339</v>
      </c>
      <c r="G52" s="10" t="s">
        <v>77</v>
      </c>
      <c r="H52" s="10" t="s">
        <v>97</v>
      </c>
      <c r="I52" s="11" t="n">
        <v>1</v>
      </c>
      <c r="J52" s="9" t="s">
        <v>340</v>
      </c>
      <c r="K52" s="10" t="s">
        <v>341</v>
      </c>
      <c r="L52" s="10" t="s">
        <v>142</v>
      </c>
      <c r="M52" s="10" t="s">
        <v>136</v>
      </c>
      <c r="N52" s="15"/>
      <c r="O52" s="10"/>
    </row>
    <row r="53" customFormat="false" ht="15" hidden="false" customHeight="false" outlineLevel="0" collapsed="false">
      <c r="A53" s="9" t="s">
        <v>459</v>
      </c>
      <c r="B53" s="10" t="s">
        <v>350</v>
      </c>
      <c r="C53" s="9" t="s">
        <v>41</v>
      </c>
      <c r="D53" s="9" t="s">
        <v>139</v>
      </c>
      <c r="E53" s="9" t="s">
        <v>460</v>
      </c>
      <c r="F53" s="9" t="s">
        <v>339</v>
      </c>
      <c r="G53" s="10" t="s">
        <v>76</v>
      </c>
      <c r="H53" s="10" t="s">
        <v>97</v>
      </c>
      <c r="I53" s="11" t="n">
        <v>1</v>
      </c>
      <c r="J53" s="9" t="s">
        <v>340</v>
      </c>
      <c r="K53" s="10" t="s">
        <v>348</v>
      </c>
      <c r="L53" s="10" t="s">
        <v>142</v>
      </c>
      <c r="M53" s="10" t="s">
        <v>136</v>
      </c>
      <c r="N53" s="15"/>
      <c r="O53" s="10"/>
    </row>
    <row r="54" customFormat="false" ht="29.85" hidden="false" customHeight="false" outlineLevel="0" collapsed="false">
      <c r="A54" s="9" t="s">
        <v>461</v>
      </c>
      <c r="B54" s="10" t="s">
        <v>337</v>
      </c>
      <c r="C54" s="9" t="s">
        <v>41</v>
      </c>
      <c r="D54" s="9" t="s">
        <v>143</v>
      </c>
      <c r="E54" s="9" t="s">
        <v>462</v>
      </c>
      <c r="F54" s="9" t="s">
        <v>339</v>
      </c>
      <c r="G54" s="10" t="s">
        <v>77</v>
      </c>
      <c r="H54" s="10" t="s">
        <v>131</v>
      </c>
      <c r="I54" s="11" t="n">
        <v>1</v>
      </c>
      <c r="J54" s="9" t="s">
        <v>340</v>
      </c>
      <c r="K54" s="10" t="s">
        <v>341</v>
      </c>
      <c r="L54" s="10" t="s">
        <v>147</v>
      </c>
      <c r="M54" s="10" t="s">
        <v>145</v>
      </c>
      <c r="N54" s="15"/>
      <c r="O54" s="10"/>
    </row>
    <row r="55" customFormat="false" ht="15" hidden="false" customHeight="false" outlineLevel="0" collapsed="false">
      <c r="A55" s="9" t="s">
        <v>463</v>
      </c>
      <c r="B55" s="10" t="s">
        <v>337</v>
      </c>
      <c r="C55" s="9" t="s">
        <v>41</v>
      </c>
      <c r="D55" s="9" t="s">
        <v>143</v>
      </c>
      <c r="E55" s="9" t="s">
        <v>464</v>
      </c>
      <c r="F55" s="9" t="s">
        <v>339</v>
      </c>
      <c r="G55" s="10" t="s">
        <v>78</v>
      </c>
      <c r="H55" s="10" t="s">
        <v>131</v>
      </c>
      <c r="I55" s="11" t="n">
        <v>1</v>
      </c>
      <c r="J55" s="9" t="s">
        <v>340</v>
      </c>
      <c r="K55" s="10" t="s">
        <v>367</v>
      </c>
      <c r="L55" s="10" t="s">
        <v>147</v>
      </c>
      <c r="M55" s="10" t="s">
        <v>145</v>
      </c>
      <c r="N55" s="15"/>
      <c r="O55" s="10"/>
    </row>
    <row r="56" customFormat="false" ht="15" hidden="false" customHeight="false" outlineLevel="0" collapsed="false">
      <c r="A56" s="9" t="s">
        <v>465</v>
      </c>
      <c r="B56" s="10" t="s">
        <v>337</v>
      </c>
      <c r="C56" s="9" t="s">
        <v>41</v>
      </c>
      <c r="D56" s="9" t="s">
        <v>143</v>
      </c>
      <c r="E56" s="9" t="s">
        <v>466</v>
      </c>
      <c r="F56" s="9" t="s">
        <v>339</v>
      </c>
      <c r="G56" s="10" t="s">
        <v>79</v>
      </c>
      <c r="H56" s="10" t="s">
        <v>131</v>
      </c>
      <c r="I56" s="11" t="n">
        <v>1</v>
      </c>
      <c r="J56" s="9" t="s">
        <v>340</v>
      </c>
      <c r="K56" s="10" t="s">
        <v>352</v>
      </c>
      <c r="L56" s="10" t="s">
        <v>147</v>
      </c>
      <c r="M56" s="10" t="s">
        <v>145</v>
      </c>
      <c r="N56" s="15"/>
      <c r="O56" s="10"/>
    </row>
    <row r="57" customFormat="false" ht="15" hidden="false" customHeight="false" outlineLevel="0" collapsed="false">
      <c r="A57" s="9" t="s">
        <v>467</v>
      </c>
      <c r="B57" s="10" t="s">
        <v>350</v>
      </c>
      <c r="C57" s="9" t="s">
        <v>41</v>
      </c>
      <c r="D57" s="9" t="s">
        <v>143</v>
      </c>
      <c r="E57" s="9" t="s">
        <v>468</v>
      </c>
      <c r="F57" s="9" t="s">
        <v>339</v>
      </c>
      <c r="G57" s="10" t="s">
        <v>76</v>
      </c>
      <c r="H57" s="10" t="s">
        <v>131</v>
      </c>
      <c r="I57" s="11" t="n">
        <v>1</v>
      </c>
      <c r="J57" s="9" t="s">
        <v>340</v>
      </c>
      <c r="K57" s="10" t="s">
        <v>348</v>
      </c>
      <c r="L57" s="10" t="s">
        <v>147</v>
      </c>
      <c r="M57" s="10" t="s">
        <v>145</v>
      </c>
      <c r="N57" s="15"/>
      <c r="O57" s="10"/>
    </row>
    <row r="58" customFormat="false" ht="29.85" hidden="false" customHeight="false" outlineLevel="0" collapsed="false">
      <c r="A58" s="9" t="s">
        <v>469</v>
      </c>
      <c r="B58" s="10" t="s">
        <v>337</v>
      </c>
      <c r="C58" s="9" t="s">
        <v>43</v>
      </c>
      <c r="D58" s="9" t="s">
        <v>148</v>
      </c>
      <c r="E58" s="9" t="s">
        <v>470</v>
      </c>
      <c r="F58" s="9" t="s">
        <v>339</v>
      </c>
      <c r="G58" s="10" t="s">
        <v>77</v>
      </c>
      <c r="H58" s="10" t="s">
        <v>131</v>
      </c>
      <c r="I58" s="11" t="n">
        <v>1</v>
      </c>
      <c r="J58" s="9" t="s">
        <v>340</v>
      </c>
      <c r="K58" s="10" t="s">
        <v>341</v>
      </c>
      <c r="L58" s="10" t="s">
        <v>152</v>
      </c>
      <c r="M58" s="10" t="s">
        <v>150</v>
      </c>
      <c r="N58" s="15"/>
      <c r="O58" s="10"/>
    </row>
    <row r="59" customFormat="false" ht="29.85" hidden="false" customHeight="false" outlineLevel="0" collapsed="false">
      <c r="A59" s="9" t="s">
        <v>471</v>
      </c>
      <c r="B59" s="10" t="s">
        <v>337</v>
      </c>
      <c r="C59" s="9" t="s">
        <v>43</v>
      </c>
      <c r="D59" s="9" t="s">
        <v>148</v>
      </c>
      <c r="E59" s="9" t="s">
        <v>472</v>
      </c>
      <c r="F59" s="9" t="s">
        <v>473</v>
      </c>
      <c r="G59" s="10" t="s">
        <v>75</v>
      </c>
      <c r="H59" s="10" t="s">
        <v>131</v>
      </c>
      <c r="I59" s="11" t="n">
        <v>7</v>
      </c>
      <c r="J59" s="9" t="s">
        <v>340</v>
      </c>
      <c r="K59" s="10" t="s">
        <v>344</v>
      </c>
      <c r="L59" s="10" t="s">
        <v>152</v>
      </c>
      <c r="M59" s="10" t="s">
        <v>150</v>
      </c>
      <c r="N59" s="15"/>
      <c r="O59" s="10"/>
    </row>
    <row r="60" customFormat="false" ht="15" hidden="false" customHeight="false" outlineLevel="0" collapsed="false">
      <c r="A60" s="9" t="s">
        <v>474</v>
      </c>
      <c r="B60" s="10" t="s">
        <v>337</v>
      </c>
      <c r="C60" s="9" t="s">
        <v>43</v>
      </c>
      <c r="D60" s="9" t="s">
        <v>148</v>
      </c>
      <c r="E60" s="9" t="s">
        <v>475</v>
      </c>
      <c r="F60" s="9" t="s">
        <v>476</v>
      </c>
      <c r="G60" s="10" t="s">
        <v>79</v>
      </c>
      <c r="H60" s="10" t="s">
        <v>91</v>
      </c>
      <c r="I60" s="11" t="n">
        <v>7</v>
      </c>
      <c r="J60" s="9" t="s">
        <v>340</v>
      </c>
      <c r="K60" s="10" t="s">
        <v>352</v>
      </c>
      <c r="L60" s="10" t="s">
        <v>152</v>
      </c>
      <c r="M60" s="10" t="s">
        <v>150</v>
      </c>
      <c r="N60" s="15"/>
      <c r="O60" s="10"/>
    </row>
    <row r="61" customFormat="false" ht="15" hidden="false" customHeight="false" outlineLevel="0" collapsed="false">
      <c r="A61" s="9" t="s">
        <v>477</v>
      </c>
      <c r="B61" s="10" t="s">
        <v>350</v>
      </c>
      <c r="C61" s="9" t="s">
        <v>43</v>
      </c>
      <c r="D61" s="9" t="s">
        <v>148</v>
      </c>
      <c r="E61" s="9" t="s">
        <v>478</v>
      </c>
      <c r="F61" s="9" t="s">
        <v>339</v>
      </c>
      <c r="G61" s="10" t="s">
        <v>78</v>
      </c>
      <c r="H61" s="10" t="s">
        <v>131</v>
      </c>
      <c r="I61" s="11" t="n">
        <v>1</v>
      </c>
      <c r="J61" s="9" t="s">
        <v>340</v>
      </c>
      <c r="K61" s="10" t="s">
        <v>367</v>
      </c>
      <c r="L61" s="10" t="s">
        <v>152</v>
      </c>
      <c r="M61" s="10" t="s">
        <v>150</v>
      </c>
      <c r="N61" s="15"/>
      <c r="O61" s="10"/>
    </row>
    <row r="62" customFormat="false" ht="15" hidden="false" customHeight="false" outlineLevel="0" collapsed="false">
      <c r="A62" s="9" t="s">
        <v>479</v>
      </c>
      <c r="B62" s="10" t="s">
        <v>350</v>
      </c>
      <c r="C62" s="9" t="s">
        <v>43</v>
      </c>
      <c r="D62" s="9" t="s">
        <v>148</v>
      </c>
      <c r="E62" s="9" t="s">
        <v>480</v>
      </c>
      <c r="F62" s="9" t="s">
        <v>339</v>
      </c>
      <c r="G62" s="10" t="s">
        <v>76</v>
      </c>
      <c r="H62" s="10" t="s">
        <v>91</v>
      </c>
      <c r="I62" s="11" t="n">
        <v>1</v>
      </c>
      <c r="J62" s="9" t="s">
        <v>340</v>
      </c>
      <c r="K62" s="10" t="s">
        <v>348</v>
      </c>
      <c r="L62" s="10" t="s">
        <v>152</v>
      </c>
      <c r="M62" s="10" t="s">
        <v>150</v>
      </c>
      <c r="N62" s="15"/>
      <c r="O62" s="10"/>
    </row>
    <row r="63" customFormat="false" ht="29.85" hidden="false" customHeight="false" outlineLevel="0" collapsed="false">
      <c r="A63" s="9" t="s">
        <v>481</v>
      </c>
      <c r="B63" s="10" t="s">
        <v>350</v>
      </c>
      <c r="C63" s="9" t="s">
        <v>43</v>
      </c>
      <c r="D63" s="9" t="s">
        <v>148</v>
      </c>
      <c r="E63" s="9" t="s">
        <v>482</v>
      </c>
      <c r="F63" s="9" t="s">
        <v>483</v>
      </c>
      <c r="G63" s="10" t="s">
        <v>77</v>
      </c>
      <c r="H63" s="10" t="s">
        <v>131</v>
      </c>
      <c r="I63" s="11" t="n">
        <v>4</v>
      </c>
      <c r="J63" s="9" t="s">
        <v>356</v>
      </c>
      <c r="K63" s="10" t="s">
        <v>341</v>
      </c>
      <c r="L63" s="10" t="s">
        <v>152</v>
      </c>
      <c r="M63" s="10" t="s">
        <v>150</v>
      </c>
      <c r="N63" s="15"/>
      <c r="O63" s="10"/>
    </row>
    <row r="64" customFormat="false" ht="29.85" hidden="false" customHeight="false" outlineLevel="0" collapsed="false">
      <c r="A64" s="9" t="s">
        <v>484</v>
      </c>
      <c r="B64" s="10" t="s">
        <v>337</v>
      </c>
      <c r="C64" s="9" t="s">
        <v>43</v>
      </c>
      <c r="D64" s="9" t="s">
        <v>153</v>
      </c>
      <c r="E64" s="9" t="s">
        <v>485</v>
      </c>
      <c r="F64" s="9" t="s">
        <v>486</v>
      </c>
      <c r="G64" s="10" t="s">
        <v>75</v>
      </c>
      <c r="H64" s="10" t="s">
        <v>131</v>
      </c>
      <c r="I64" s="11" t="n">
        <v>6</v>
      </c>
      <c r="J64" s="9" t="s">
        <v>340</v>
      </c>
      <c r="K64" s="10" t="s">
        <v>344</v>
      </c>
      <c r="L64" s="10" t="s">
        <v>157</v>
      </c>
      <c r="M64" s="10" t="s">
        <v>155</v>
      </c>
      <c r="N64" s="15"/>
      <c r="O64" s="10"/>
    </row>
    <row r="65" customFormat="false" ht="29.85" hidden="false" customHeight="false" outlineLevel="0" collapsed="false">
      <c r="A65" s="9" t="s">
        <v>487</v>
      </c>
      <c r="B65" s="10" t="s">
        <v>337</v>
      </c>
      <c r="C65" s="9" t="s">
        <v>43</v>
      </c>
      <c r="D65" s="9" t="s">
        <v>153</v>
      </c>
      <c r="E65" s="9" t="s">
        <v>488</v>
      </c>
      <c r="F65" s="9" t="s">
        <v>489</v>
      </c>
      <c r="G65" s="10" t="s">
        <v>77</v>
      </c>
      <c r="H65" s="10" t="s">
        <v>131</v>
      </c>
      <c r="I65" s="11" t="n">
        <v>6</v>
      </c>
      <c r="J65" s="9" t="s">
        <v>340</v>
      </c>
      <c r="K65" s="10" t="s">
        <v>341</v>
      </c>
      <c r="L65" s="10" t="s">
        <v>157</v>
      </c>
      <c r="M65" s="10" t="s">
        <v>155</v>
      </c>
      <c r="N65" s="15"/>
      <c r="O65" s="10"/>
    </row>
    <row r="66" customFormat="false" ht="29.85" hidden="false" customHeight="false" outlineLevel="0" collapsed="false">
      <c r="A66" s="9" t="s">
        <v>490</v>
      </c>
      <c r="B66" s="10" t="s">
        <v>350</v>
      </c>
      <c r="C66" s="9" t="s">
        <v>43</v>
      </c>
      <c r="D66" s="9" t="s">
        <v>153</v>
      </c>
      <c r="E66" s="9" t="s">
        <v>491</v>
      </c>
      <c r="F66" s="9" t="s">
        <v>339</v>
      </c>
      <c r="G66" s="10" t="s">
        <v>77</v>
      </c>
      <c r="H66" s="10" t="s">
        <v>131</v>
      </c>
      <c r="I66" s="11" t="n">
        <v>1</v>
      </c>
      <c r="J66" s="9" t="s">
        <v>340</v>
      </c>
      <c r="K66" s="10" t="s">
        <v>341</v>
      </c>
      <c r="L66" s="10" t="s">
        <v>157</v>
      </c>
      <c r="M66" s="10" t="s">
        <v>155</v>
      </c>
      <c r="N66" s="15"/>
      <c r="O66" s="10"/>
    </row>
    <row r="67" customFormat="false" ht="15" hidden="false" customHeight="false" outlineLevel="0" collapsed="false">
      <c r="A67" s="9" t="s">
        <v>492</v>
      </c>
      <c r="B67" s="10" t="s">
        <v>350</v>
      </c>
      <c r="C67" s="9" t="s">
        <v>43</v>
      </c>
      <c r="D67" s="9" t="s">
        <v>153</v>
      </c>
      <c r="E67" s="9" t="s">
        <v>493</v>
      </c>
      <c r="F67" s="9" t="s">
        <v>339</v>
      </c>
      <c r="G67" s="10" t="s">
        <v>76</v>
      </c>
      <c r="H67" s="10" t="s">
        <v>131</v>
      </c>
      <c r="I67" s="11" t="n">
        <v>1</v>
      </c>
      <c r="J67" s="9" t="s">
        <v>340</v>
      </c>
      <c r="K67" s="10" t="s">
        <v>348</v>
      </c>
      <c r="L67" s="10" t="s">
        <v>157</v>
      </c>
      <c r="M67" s="10" t="s">
        <v>155</v>
      </c>
      <c r="N67" s="15"/>
      <c r="O67" s="10"/>
    </row>
    <row r="68" customFormat="false" ht="29.85" hidden="false" customHeight="false" outlineLevel="0" collapsed="false">
      <c r="A68" s="9" t="s">
        <v>494</v>
      </c>
      <c r="B68" s="10" t="s">
        <v>337</v>
      </c>
      <c r="C68" s="9" t="s">
        <v>43</v>
      </c>
      <c r="D68" s="9" t="s">
        <v>158</v>
      </c>
      <c r="E68" s="9" t="s">
        <v>495</v>
      </c>
      <c r="F68" s="9" t="s">
        <v>339</v>
      </c>
      <c r="G68" s="10" t="s">
        <v>77</v>
      </c>
      <c r="H68" s="10" t="s">
        <v>131</v>
      </c>
      <c r="I68" s="11" t="n">
        <v>1</v>
      </c>
      <c r="J68" s="9" t="s">
        <v>340</v>
      </c>
      <c r="K68" s="10" t="s">
        <v>341</v>
      </c>
      <c r="L68" s="10" t="s">
        <v>162</v>
      </c>
      <c r="M68" s="10" t="s">
        <v>160</v>
      </c>
      <c r="N68" s="15"/>
      <c r="O68" s="10"/>
    </row>
    <row r="69" customFormat="false" ht="29.85" hidden="false" customHeight="false" outlineLevel="0" collapsed="false">
      <c r="A69" s="9" t="s">
        <v>496</v>
      </c>
      <c r="B69" s="10" t="s">
        <v>337</v>
      </c>
      <c r="C69" s="9" t="s">
        <v>43</v>
      </c>
      <c r="D69" s="9" t="s">
        <v>158</v>
      </c>
      <c r="E69" s="9" t="s">
        <v>497</v>
      </c>
      <c r="F69" s="9" t="s">
        <v>339</v>
      </c>
      <c r="G69" s="10" t="s">
        <v>75</v>
      </c>
      <c r="H69" s="10" t="s">
        <v>131</v>
      </c>
      <c r="I69" s="11" t="n">
        <v>1</v>
      </c>
      <c r="J69" s="9" t="s">
        <v>340</v>
      </c>
      <c r="K69" s="10" t="s">
        <v>344</v>
      </c>
      <c r="L69" s="10" t="s">
        <v>162</v>
      </c>
      <c r="M69" s="10" t="s">
        <v>160</v>
      </c>
      <c r="N69" s="15"/>
      <c r="O69" s="10"/>
    </row>
    <row r="70" customFormat="false" ht="15" hidden="false" customHeight="false" outlineLevel="0" collapsed="false">
      <c r="A70" s="9" t="s">
        <v>498</v>
      </c>
      <c r="B70" s="10" t="s">
        <v>350</v>
      </c>
      <c r="C70" s="9" t="s">
        <v>43</v>
      </c>
      <c r="D70" s="9" t="s">
        <v>158</v>
      </c>
      <c r="E70" s="9" t="s">
        <v>499</v>
      </c>
      <c r="F70" s="9" t="s">
        <v>339</v>
      </c>
      <c r="G70" s="10" t="s">
        <v>78</v>
      </c>
      <c r="H70" s="10" t="s">
        <v>131</v>
      </c>
      <c r="I70" s="11" t="n">
        <v>1</v>
      </c>
      <c r="J70" s="9" t="s">
        <v>340</v>
      </c>
      <c r="K70" s="10" t="s">
        <v>367</v>
      </c>
      <c r="L70" s="10" t="s">
        <v>162</v>
      </c>
      <c r="M70" s="10" t="s">
        <v>160</v>
      </c>
      <c r="N70" s="15"/>
      <c r="O70" s="10"/>
    </row>
    <row r="71" customFormat="false" ht="15" hidden="false" customHeight="false" outlineLevel="0" collapsed="false">
      <c r="A71" s="9" t="s">
        <v>500</v>
      </c>
      <c r="B71" s="10" t="s">
        <v>350</v>
      </c>
      <c r="C71" s="9" t="s">
        <v>43</v>
      </c>
      <c r="D71" s="9" t="s">
        <v>158</v>
      </c>
      <c r="E71" s="9" t="s">
        <v>501</v>
      </c>
      <c r="F71" s="9" t="s">
        <v>339</v>
      </c>
      <c r="G71" s="10" t="s">
        <v>79</v>
      </c>
      <c r="H71" s="10" t="s">
        <v>91</v>
      </c>
      <c r="I71" s="11" t="n">
        <v>1</v>
      </c>
      <c r="J71" s="9" t="s">
        <v>340</v>
      </c>
      <c r="K71" s="10" t="s">
        <v>352</v>
      </c>
      <c r="L71" s="10" t="s">
        <v>162</v>
      </c>
      <c r="M71" s="10" t="s">
        <v>160</v>
      </c>
      <c r="N71" s="15"/>
      <c r="O71" s="10"/>
    </row>
    <row r="72" customFormat="false" ht="29.85" hidden="false" customHeight="false" outlineLevel="0" collapsed="false">
      <c r="A72" s="9" t="s">
        <v>502</v>
      </c>
      <c r="B72" s="10" t="s">
        <v>337</v>
      </c>
      <c r="C72" s="9" t="s">
        <v>43</v>
      </c>
      <c r="D72" s="9" t="s">
        <v>163</v>
      </c>
      <c r="E72" s="9" t="s">
        <v>503</v>
      </c>
      <c r="F72" s="9" t="s">
        <v>504</v>
      </c>
      <c r="G72" s="10" t="s">
        <v>77</v>
      </c>
      <c r="H72" s="10" t="s">
        <v>131</v>
      </c>
      <c r="I72" s="11" t="n">
        <v>4</v>
      </c>
      <c r="J72" s="9" t="s">
        <v>340</v>
      </c>
      <c r="K72" s="10" t="s">
        <v>341</v>
      </c>
      <c r="L72" s="10" t="s">
        <v>167</v>
      </c>
      <c r="M72" s="10" t="s">
        <v>165</v>
      </c>
      <c r="N72" s="15"/>
      <c r="O72" s="10"/>
    </row>
    <row r="73" customFormat="false" ht="29.85" hidden="false" customHeight="false" outlineLevel="0" collapsed="false">
      <c r="A73" s="9" t="s">
        <v>505</v>
      </c>
      <c r="B73" s="10" t="s">
        <v>337</v>
      </c>
      <c r="C73" s="9" t="s">
        <v>43</v>
      </c>
      <c r="D73" s="9" t="s">
        <v>163</v>
      </c>
      <c r="E73" s="9" t="s">
        <v>506</v>
      </c>
      <c r="F73" s="9" t="s">
        <v>339</v>
      </c>
      <c r="G73" s="10" t="s">
        <v>77</v>
      </c>
      <c r="H73" s="10" t="s">
        <v>131</v>
      </c>
      <c r="I73" s="11" t="n">
        <v>1</v>
      </c>
      <c r="J73" s="9" t="s">
        <v>340</v>
      </c>
      <c r="K73" s="10" t="s">
        <v>341</v>
      </c>
      <c r="L73" s="10" t="s">
        <v>167</v>
      </c>
      <c r="M73" s="10" t="s">
        <v>165</v>
      </c>
      <c r="N73" s="15"/>
      <c r="O73" s="10"/>
    </row>
    <row r="74" customFormat="false" ht="29.85" hidden="false" customHeight="false" outlineLevel="0" collapsed="false">
      <c r="A74" s="9" t="s">
        <v>507</v>
      </c>
      <c r="B74" s="10" t="s">
        <v>350</v>
      </c>
      <c r="C74" s="9" t="s">
        <v>43</v>
      </c>
      <c r="D74" s="9" t="s">
        <v>163</v>
      </c>
      <c r="E74" s="9" t="s">
        <v>508</v>
      </c>
      <c r="F74" s="9" t="s">
        <v>339</v>
      </c>
      <c r="G74" s="10" t="s">
        <v>75</v>
      </c>
      <c r="H74" s="10" t="s">
        <v>131</v>
      </c>
      <c r="I74" s="11" t="n">
        <v>1</v>
      </c>
      <c r="J74" s="9" t="s">
        <v>340</v>
      </c>
      <c r="K74" s="10" t="s">
        <v>344</v>
      </c>
      <c r="L74" s="10" t="s">
        <v>167</v>
      </c>
      <c r="M74" s="10" t="s">
        <v>165</v>
      </c>
      <c r="N74" s="15"/>
      <c r="O74" s="10"/>
    </row>
    <row r="75" customFormat="false" ht="15" hidden="false" customHeight="false" outlineLevel="0" collapsed="false">
      <c r="A75" s="9" t="s">
        <v>509</v>
      </c>
      <c r="B75" s="10" t="s">
        <v>350</v>
      </c>
      <c r="C75" s="9" t="s">
        <v>43</v>
      </c>
      <c r="D75" s="9" t="s">
        <v>163</v>
      </c>
      <c r="E75" s="9" t="s">
        <v>510</v>
      </c>
      <c r="F75" s="9" t="s">
        <v>339</v>
      </c>
      <c r="G75" s="10" t="s">
        <v>76</v>
      </c>
      <c r="H75" s="10" t="s">
        <v>131</v>
      </c>
      <c r="I75" s="11" t="n">
        <v>1</v>
      </c>
      <c r="J75" s="9" t="s">
        <v>340</v>
      </c>
      <c r="K75" s="10" t="s">
        <v>348</v>
      </c>
      <c r="L75" s="10" t="s">
        <v>167</v>
      </c>
      <c r="M75" s="10" t="s">
        <v>165</v>
      </c>
      <c r="N75" s="15"/>
      <c r="O75" s="10"/>
    </row>
    <row r="76" customFormat="false" ht="29.85" hidden="false" customHeight="false" outlineLevel="0" collapsed="false">
      <c r="A76" s="9" t="s">
        <v>511</v>
      </c>
      <c r="B76" s="10" t="s">
        <v>337</v>
      </c>
      <c r="C76" s="9" t="s">
        <v>45</v>
      </c>
      <c r="D76" s="9" t="s">
        <v>168</v>
      </c>
      <c r="E76" s="9" t="s">
        <v>512</v>
      </c>
      <c r="F76" s="9" t="s">
        <v>513</v>
      </c>
      <c r="G76" s="10" t="s">
        <v>77</v>
      </c>
      <c r="H76" s="10" t="s">
        <v>131</v>
      </c>
      <c r="I76" s="11" t="n">
        <v>5</v>
      </c>
      <c r="J76" s="9" t="s">
        <v>340</v>
      </c>
      <c r="K76" s="10" t="s">
        <v>341</v>
      </c>
      <c r="L76" s="10" t="s">
        <v>172</v>
      </c>
      <c r="M76" s="10" t="s">
        <v>170</v>
      </c>
      <c r="N76" s="15"/>
      <c r="O76" s="10"/>
    </row>
    <row r="77" customFormat="false" ht="15" hidden="false" customHeight="false" outlineLevel="0" collapsed="false">
      <c r="A77" s="9" t="s">
        <v>514</v>
      </c>
      <c r="B77" s="10" t="s">
        <v>337</v>
      </c>
      <c r="C77" s="9" t="s">
        <v>45</v>
      </c>
      <c r="D77" s="9" t="s">
        <v>168</v>
      </c>
      <c r="E77" s="9" t="s">
        <v>515</v>
      </c>
      <c r="F77" s="9" t="s">
        <v>516</v>
      </c>
      <c r="G77" s="10" t="s">
        <v>76</v>
      </c>
      <c r="H77" s="10" t="s">
        <v>131</v>
      </c>
      <c r="I77" s="11" t="n">
        <v>5</v>
      </c>
      <c r="J77" s="9" t="s">
        <v>340</v>
      </c>
      <c r="K77" s="10" t="s">
        <v>348</v>
      </c>
      <c r="L77" s="10" t="s">
        <v>172</v>
      </c>
      <c r="M77" s="10" t="s">
        <v>170</v>
      </c>
      <c r="N77" s="15"/>
      <c r="O77" s="10"/>
    </row>
    <row r="78" customFormat="false" ht="15" hidden="false" customHeight="false" outlineLevel="0" collapsed="false">
      <c r="A78" s="9" t="s">
        <v>517</v>
      </c>
      <c r="B78" s="10" t="s">
        <v>350</v>
      </c>
      <c r="C78" s="9" t="s">
        <v>45</v>
      </c>
      <c r="D78" s="9" t="s">
        <v>168</v>
      </c>
      <c r="E78" s="9" t="s">
        <v>518</v>
      </c>
      <c r="F78" s="9" t="s">
        <v>339</v>
      </c>
      <c r="G78" s="10" t="s">
        <v>78</v>
      </c>
      <c r="H78" s="10" t="s">
        <v>131</v>
      </c>
      <c r="I78" s="11" t="n">
        <v>1</v>
      </c>
      <c r="J78" s="9" t="s">
        <v>340</v>
      </c>
      <c r="K78" s="10" t="s">
        <v>367</v>
      </c>
      <c r="L78" s="10" t="s">
        <v>172</v>
      </c>
      <c r="M78" s="10" t="s">
        <v>170</v>
      </c>
      <c r="N78" s="15"/>
      <c r="O78" s="10"/>
    </row>
    <row r="79" customFormat="false" ht="15" hidden="false" customHeight="false" outlineLevel="0" collapsed="false">
      <c r="A79" s="9" t="s">
        <v>519</v>
      </c>
      <c r="B79" s="10" t="s">
        <v>350</v>
      </c>
      <c r="C79" s="9" t="s">
        <v>45</v>
      </c>
      <c r="D79" s="9" t="s">
        <v>168</v>
      </c>
      <c r="E79" s="9" t="s">
        <v>520</v>
      </c>
      <c r="F79" s="9" t="s">
        <v>521</v>
      </c>
      <c r="G79" s="10" t="s">
        <v>79</v>
      </c>
      <c r="H79" s="10" t="s">
        <v>131</v>
      </c>
      <c r="I79" s="11" t="n">
        <v>3</v>
      </c>
      <c r="J79" s="9" t="s">
        <v>340</v>
      </c>
      <c r="K79" s="10" t="s">
        <v>352</v>
      </c>
      <c r="L79" s="10" t="s">
        <v>172</v>
      </c>
      <c r="M79" s="10" t="s">
        <v>170</v>
      </c>
      <c r="N79" s="15"/>
      <c r="O79" s="10"/>
    </row>
    <row r="80" customFormat="false" ht="29.85" hidden="false" customHeight="false" outlineLevel="0" collapsed="false">
      <c r="A80" s="9" t="s">
        <v>522</v>
      </c>
      <c r="B80" s="10" t="s">
        <v>350</v>
      </c>
      <c r="C80" s="9" t="s">
        <v>45</v>
      </c>
      <c r="D80" s="9" t="s">
        <v>168</v>
      </c>
      <c r="E80" s="9" t="s">
        <v>523</v>
      </c>
      <c r="F80" s="9" t="s">
        <v>339</v>
      </c>
      <c r="G80" s="10" t="s">
        <v>75</v>
      </c>
      <c r="H80" s="10" t="s">
        <v>131</v>
      </c>
      <c r="I80" s="11" t="n">
        <v>1</v>
      </c>
      <c r="J80" s="9" t="s">
        <v>340</v>
      </c>
      <c r="K80" s="10" t="s">
        <v>344</v>
      </c>
      <c r="L80" s="10" t="s">
        <v>172</v>
      </c>
      <c r="M80" s="10" t="s">
        <v>170</v>
      </c>
      <c r="N80" s="15"/>
      <c r="O80" s="10"/>
    </row>
    <row r="81" customFormat="false" ht="15" hidden="false" customHeight="false" outlineLevel="0" collapsed="false">
      <c r="A81" s="9" t="s">
        <v>524</v>
      </c>
      <c r="B81" s="10" t="s">
        <v>337</v>
      </c>
      <c r="C81" s="9" t="s">
        <v>45</v>
      </c>
      <c r="D81" s="9" t="s">
        <v>173</v>
      </c>
      <c r="E81" s="9" t="s">
        <v>525</v>
      </c>
      <c r="F81" s="9" t="s">
        <v>339</v>
      </c>
      <c r="G81" s="10" t="s">
        <v>76</v>
      </c>
      <c r="H81" s="10" t="s">
        <v>131</v>
      </c>
      <c r="I81" s="11" t="n">
        <v>1</v>
      </c>
      <c r="J81" s="9" t="s">
        <v>340</v>
      </c>
      <c r="K81" s="10" t="s">
        <v>348</v>
      </c>
      <c r="L81" s="10" t="s">
        <v>172</v>
      </c>
      <c r="M81" s="10" t="s">
        <v>175</v>
      </c>
      <c r="N81" s="15"/>
      <c r="O81" s="10"/>
    </row>
    <row r="82" customFormat="false" ht="29.85" hidden="false" customHeight="false" outlineLevel="0" collapsed="false">
      <c r="A82" s="9" t="s">
        <v>526</v>
      </c>
      <c r="B82" s="10" t="s">
        <v>337</v>
      </c>
      <c r="C82" s="9" t="s">
        <v>45</v>
      </c>
      <c r="D82" s="9" t="s">
        <v>173</v>
      </c>
      <c r="E82" s="9" t="s">
        <v>527</v>
      </c>
      <c r="F82" s="9" t="s">
        <v>339</v>
      </c>
      <c r="G82" s="10" t="s">
        <v>75</v>
      </c>
      <c r="H82" s="10" t="s">
        <v>131</v>
      </c>
      <c r="I82" s="11" t="n">
        <v>1</v>
      </c>
      <c r="J82" s="9" t="s">
        <v>340</v>
      </c>
      <c r="K82" s="10" t="s">
        <v>344</v>
      </c>
      <c r="L82" s="10" t="s">
        <v>172</v>
      </c>
      <c r="M82" s="10" t="s">
        <v>175</v>
      </c>
      <c r="N82" s="15"/>
      <c r="O82" s="10"/>
    </row>
    <row r="83" customFormat="false" ht="15" hidden="false" customHeight="false" outlineLevel="0" collapsed="false">
      <c r="A83" s="9" t="s">
        <v>528</v>
      </c>
      <c r="B83" s="10" t="s">
        <v>350</v>
      </c>
      <c r="C83" s="9" t="s">
        <v>45</v>
      </c>
      <c r="D83" s="9" t="s">
        <v>173</v>
      </c>
      <c r="E83" s="9" t="s">
        <v>529</v>
      </c>
      <c r="F83" s="9" t="s">
        <v>339</v>
      </c>
      <c r="G83" s="10" t="s">
        <v>78</v>
      </c>
      <c r="H83" s="10" t="s">
        <v>131</v>
      </c>
      <c r="I83" s="11" t="n">
        <v>1</v>
      </c>
      <c r="J83" s="9" t="s">
        <v>340</v>
      </c>
      <c r="K83" s="10" t="s">
        <v>367</v>
      </c>
      <c r="L83" s="10" t="s">
        <v>172</v>
      </c>
      <c r="M83" s="10" t="s">
        <v>175</v>
      </c>
      <c r="N83" s="15"/>
      <c r="O83" s="10"/>
    </row>
    <row r="84" customFormat="false" ht="15" hidden="false" customHeight="false" outlineLevel="0" collapsed="false">
      <c r="A84" s="9" t="s">
        <v>530</v>
      </c>
      <c r="B84" s="10" t="s">
        <v>350</v>
      </c>
      <c r="C84" s="9" t="s">
        <v>45</v>
      </c>
      <c r="D84" s="9" t="s">
        <v>173</v>
      </c>
      <c r="E84" s="9" t="s">
        <v>531</v>
      </c>
      <c r="F84" s="9" t="s">
        <v>339</v>
      </c>
      <c r="G84" s="10" t="s">
        <v>76</v>
      </c>
      <c r="H84" s="10" t="s">
        <v>131</v>
      </c>
      <c r="I84" s="11" t="n">
        <v>1</v>
      </c>
      <c r="J84" s="9" t="s">
        <v>340</v>
      </c>
      <c r="K84" s="10" t="s">
        <v>348</v>
      </c>
      <c r="L84" s="10" t="s">
        <v>172</v>
      </c>
      <c r="M84" s="10" t="s">
        <v>175</v>
      </c>
      <c r="N84" s="15"/>
      <c r="O84" s="10"/>
    </row>
    <row r="85" customFormat="false" ht="29.85" hidden="false" customHeight="false" outlineLevel="0" collapsed="false">
      <c r="A85" s="9" t="s">
        <v>532</v>
      </c>
      <c r="B85" s="10" t="s">
        <v>337</v>
      </c>
      <c r="C85" s="9" t="s">
        <v>45</v>
      </c>
      <c r="D85" s="9" t="s">
        <v>177</v>
      </c>
      <c r="E85" s="9" t="s">
        <v>533</v>
      </c>
      <c r="F85" s="9" t="s">
        <v>339</v>
      </c>
      <c r="G85" s="10" t="s">
        <v>77</v>
      </c>
      <c r="H85" s="10" t="s">
        <v>91</v>
      </c>
      <c r="I85" s="11" t="n">
        <v>1</v>
      </c>
      <c r="J85" s="9" t="s">
        <v>340</v>
      </c>
      <c r="K85" s="10" t="s">
        <v>341</v>
      </c>
      <c r="L85" s="10" t="s">
        <v>181</v>
      </c>
      <c r="M85" s="10" t="s">
        <v>179</v>
      </c>
      <c r="N85" s="15"/>
      <c r="O85" s="10"/>
    </row>
    <row r="86" customFormat="false" ht="29.85" hidden="false" customHeight="false" outlineLevel="0" collapsed="false">
      <c r="A86" s="9" t="s">
        <v>534</v>
      </c>
      <c r="B86" s="10" t="s">
        <v>337</v>
      </c>
      <c r="C86" s="9" t="s">
        <v>45</v>
      </c>
      <c r="D86" s="9" t="s">
        <v>177</v>
      </c>
      <c r="E86" s="9" t="s">
        <v>535</v>
      </c>
      <c r="F86" s="9" t="s">
        <v>339</v>
      </c>
      <c r="G86" s="10" t="s">
        <v>75</v>
      </c>
      <c r="H86" s="10" t="s">
        <v>91</v>
      </c>
      <c r="I86" s="11" t="n">
        <v>1</v>
      </c>
      <c r="J86" s="9" t="s">
        <v>340</v>
      </c>
      <c r="K86" s="10" t="s">
        <v>344</v>
      </c>
      <c r="L86" s="10" t="s">
        <v>181</v>
      </c>
      <c r="M86" s="10" t="s">
        <v>179</v>
      </c>
      <c r="N86" s="15"/>
      <c r="O86" s="10"/>
    </row>
    <row r="87" customFormat="false" ht="15" hidden="false" customHeight="false" outlineLevel="0" collapsed="false">
      <c r="A87" s="9" t="s">
        <v>536</v>
      </c>
      <c r="B87" s="10" t="s">
        <v>350</v>
      </c>
      <c r="C87" s="9" t="s">
        <v>45</v>
      </c>
      <c r="D87" s="9" t="s">
        <v>177</v>
      </c>
      <c r="E87" s="9" t="s">
        <v>537</v>
      </c>
      <c r="F87" s="9" t="s">
        <v>339</v>
      </c>
      <c r="G87" s="10" t="s">
        <v>76</v>
      </c>
      <c r="H87" s="10" t="s">
        <v>97</v>
      </c>
      <c r="I87" s="11" t="n">
        <v>1</v>
      </c>
      <c r="J87" s="9" t="s">
        <v>340</v>
      </c>
      <c r="K87" s="10" t="s">
        <v>348</v>
      </c>
      <c r="L87" s="10" t="s">
        <v>181</v>
      </c>
      <c r="M87" s="10" t="s">
        <v>179</v>
      </c>
      <c r="N87" s="15"/>
      <c r="O87" s="10"/>
    </row>
    <row r="88" customFormat="false" ht="15" hidden="false" customHeight="false" outlineLevel="0" collapsed="false">
      <c r="A88" s="9" t="s">
        <v>538</v>
      </c>
      <c r="B88" s="10" t="s">
        <v>350</v>
      </c>
      <c r="C88" s="9" t="s">
        <v>45</v>
      </c>
      <c r="D88" s="9" t="s">
        <v>177</v>
      </c>
      <c r="E88" s="9" t="s">
        <v>539</v>
      </c>
      <c r="F88" s="9" t="s">
        <v>339</v>
      </c>
      <c r="G88" s="10" t="s">
        <v>78</v>
      </c>
      <c r="H88" s="10" t="s">
        <v>91</v>
      </c>
      <c r="I88" s="11" t="n">
        <v>1</v>
      </c>
      <c r="J88" s="9" t="s">
        <v>340</v>
      </c>
      <c r="K88" s="10" t="s">
        <v>367</v>
      </c>
      <c r="L88" s="10" t="s">
        <v>181</v>
      </c>
      <c r="M88" s="10" t="s">
        <v>179</v>
      </c>
      <c r="N88" s="15"/>
      <c r="O88" s="10"/>
    </row>
    <row r="89" customFormat="false" ht="29.85" hidden="false" customHeight="false" outlineLevel="0" collapsed="false">
      <c r="A89" s="9" t="s">
        <v>540</v>
      </c>
      <c r="B89" s="10" t="s">
        <v>337</v>
      </c>
      <c r="C89" s="9" t="s">
        <v>45</v>
      </c>
      <c r="D89" s="9" t="s">
        <v>182</v>
      </c>
      <c r="E89" s="9" t="s">
        <v>541</v>
      </c>
      <c r="F89" s="9" t="s">
        <v>339</v>
      </c>
      <c r="G89" s="10" t="s">
        <v>77</v>
      </c>
      <c r="H89" s="10" t="s">
        <v>131</v>
      </c>
      <c r="I89" s="11" t="n">
        <v>1</v>
      </c>
      <c r="J89" s="9" t="s">
        <v>340</v>
      </c>
      <c r="K89" s="10" t="s">
        <v>341</v>
      </c>
      <c r="L89" s="10" t="s">
        <v>172</v>
      </c>
      <c r="M89" s="10" t="s">
        <v>184</v>
      </c>
      <c r="N89" s="15"/>
      <c r="O89" s="10"/>
    </row>
    <row r="90" customFormat="false" ht="15" hidden="false" customHeight="false" outlineLevel="0" collapsed="false">
      <c r="A90" s="9" t="s">
        <v>542</v>
      </c>
      <c r="B90" s="10" t="s">
        <v>337</v>
      </c>
      <c r="C90" s="9" t="s">
        <v>45</v>
      </c>
      <c r="D90" s="9" t="s">
        <v>182</v>
      </c>
      <c r="E90" s="9" t="s">
        <v>543</v>
      </c>
      <c r="F90" s="9" t="s">
        <v>339</v>
      </c>
      <c r="G90" s="10" t="s">
        <v>76</v>
      </c>
      <c r="H90" s="10" t="s">
        <v>131</v>
      </c>
      <c r="I90" s="11" t="n">
        <v>1</v>
      </c>
      <c r="J90" s="9" t="s">
        <v>340</v>
      </c>
      <c r="K90" s="10" t="s">
        <v>348</v>
      </c>
      <c r="L90" s="10" t="s">
        <v>172</v>
      </c>
      <c r="M90" s="10" t="s">
        <v>184</v>
      </c>
      <c r="N90" s="15"/>
      <c r="O90" s="10"/>
    </row>
    <row r="91" customFormat="false" ht="15" hidden="false" customHeight="false" outlineLevel="0" collapsed="false">
      <c r="A91" s="9" t="s">
        <v>544</v>
      </c>
      <c r="B91" s="10" t="s">
        <v>350</v>
      </c>
      <c r="C91" s="9" t="s">
        <v>45</v>
      </c>
      <c r="D91" s="9" t="s">
        <v>182</v>
      </c>
      <c r="E91" s="9" t="s">
        <v>545</v>
      </c>
      <c r="F91" s="9" t="s">
        <v>339</v>
      </c>
      <c r="G91" s="10" t="s">
        <v>78</v>
      </c>
      <c r="H91" s="10" t="s">
        <v>131</v>
      </c>
      <c r="I91" s="11" t="n">
        <v>1</v>
      </c>
      <c r="J91" s="9" t="s">
        <v>340</v>
      </c>
      <c r="K91" s="10" t="s">
        <v>367</v>
      </c>
      <c r="L91" s="10" t="s">
        <v>172</v>
      </c>
      <c r="M91" s="10" t="s">
        <v>184</v>
      </c>
      <c r="N91" s="15"/>
      <c r="O91" s="10"/>
    </row>
    <row r="92" customFormat="false" ht="29.85" hidden="false" customHeight="false" outlineLevel="0" collapsed="false">
      <c r="A92" s="9" t="s">
        <v>546</v>
      </c>
      <c r="B92" s="10" t="s">
        <v>350</v>
      </c>
      <c r="C92" s="9" t="s">
        <v>45</v>
      </c>
      <c r="D92" s="9" t="s">
        <v>182</v>
      </c>
      <c r="E92" s="9" t="s">
        <v>547</v>
      </c>
      <c r="F92" s="9" t="s">
        <v>548</v>
      </c>
      <c r="G92" s="10" t="s">
        <v>75</v>
      </c>
      <c r="H92" s="10" t="s">
        <v>131</v>
      </c>
      <c r="I92" s="11" t="n">
        <v>4</v>
      </c>
      <c r="J92" s="9" t="s">
        <v>340</v>
      </c>
      <c r="K92" s="10" t="s">
        <v>344</v>
      </c>
      <c r="L92" s="10" t="s">
        <v>172</v>
      </c>
      <c r="M92" s="10" t="s">
        <v>184</v>
      </c>
      <c r="N92" s="15"/>
      <c r="O92" s="10"/>
    </row>
    <row r="93" customFormat="false" ht="29.85" hidden="false" customHeight="false" outlineLevel="0" collapsed="false">
      <c r="A93" s="9" t="s">
        <v>549</v>
      </c>
      <c r="B93" s="10" t="s">
        <v>337</v>
      </c>
      <c r="C93" s="9" t="s">
        <v>47</v>
      </c>
      <c r="D93" s="9" t="s">
        <v>186</v>
      </c>
      <c r="E93" s="9" t="s">
        <v>550</v>
      </c>
      <c r="F93" s="9" t="s">
        <v>551</v>
      </c>
      <c r="G93" s="10" t="s">
        <v>77</v>
      </c>
      <c r="H93" s="10" t="s">
        <v>131</v>
      </c>
      <c r="I93" s="11" t="n">
        <v>5</v>
      </c>
      <c r="J93" s="9" t="s">
        <v>340</v>
      </c>
      <c r="K93" s="10" t="s">
        <v>341</v>
      </c>
      <c r="L93" s="10" t="s">
        <v>190</v>
      </c>
      <c r="M93" s="10" t="s">
        <v>188</v>
      </c>
      <c r="N93" s="15"/>
      <c r="O93" s="10"/>
    </row>
    <row r="94" customFormat="false" ht="15" hidden="false" customHeight="false" outlineLevel="0" collapsed="false">
      <c r="A94" s="9" t="s">
        <v>552</v>
      </c>
      <c r="B94" s="10" t="s">
        <v>337</v>
      </c>
      <c r="C94" s="9" t="s">
        <v>47</v>
      </c>
      <c r="D94" s="9" t="s">
        <v>186</v>
      </c>
      <c r="E94" s="9" t="s">
        <v>553</v>
      </c>
      <c r="F94" s="9" t="s">
        <v>339</v>
      </c>
      <c r="G94" s="10" t="s">
        <v>76</v>
      </c>
      <c r="H94" s="10" t="s">
        <v>91</v>
      </c>
      <c r="I94" s="11" t="n">
        <v>1</v>
      </c>
      <c r="J94" s="9" t="s">
        <v>340</v>
      </c>
      <c r="K94" s="10" t="s">
        <v>348</v>
      </c>
      <c r="L94" s="10" t="s">
        <v>190</v>
      </c>
      <c r="M94" s="10" t="s">
        <v>188</v>
      </c>
      <c r="N94" s="15"/>
      <c r="O94" s="10"/>
    </row>
    <row r="95" customFormat="false" ht="29.85" hidden="false" customHeight="false" outlineLevel="0" collapsed="false">
      <c r="A95" s="9" t="s">
        <v>554</v>
      </c>
      <c r="B95" s="10" t="s">
        <v>350</v>
      </c>
      <c r="C95" s="9" t="s">
        <v>47</v>
      </c>
      <c r="D95" s="9" t="s">
        <v>186</v>
      </c>
      <c r="E95" s="9" t="s">
        <v>555</v>
      </c>
      <c r="F95" s="9" t="s">
        <v>339</v>
      </c>
      <c r="G95" s="10" t="s">
        <v>77</v>
      </c>
      <c r="H95" s="10" t="s">
        <v>131</v>
      </c>
      <c r="I95" s="11" t="n">
        <v>1</v>
      </c>
      <c r="J95" s="9" t="s">
        <v>340</v>
      </c>
      <c r="K95" s="10" t="s">
        <v>341</v>
      </c>
      <c r="L95" s="10" t="s">
        <v>190</v>
      </c>
      <c r="M95" s="10" t="s">
        <v>188</v>
      </c>
      <c r="N95" s="15"/>
      <c r="O95" s="10"/>
    </row>
    <row r="96" customFormat="false" ht="29.85" hidden="false" customHeight="false" outlineLevel="0" collapsed="false">
      <c r="A96" s="9" t="s">
        <v>556</v>
      </c>
      <c r="B96" s="10" t="s">
        <v>350</v>
      </c>
      <c r="C96" s="9" t="s">
        <v>47</v>
      </c>
      <c r="D96" s="9" t="s">
        <v>186</v>
      </c>
      <c r="E96" s="9" t="s">
        <v>557</v>
      </c>
      <c r="F96" s="9" t="s">
        <v>339</v>
      </c>
      <c r="G96" s="10" t="s">
        <v>75</v>
      </c>
      <c r="H96" s="10" t="s">
        <v>131</v>
      </c>
      <c r="I96" s="11" t="n">
        <v>1</v>
      </c>
      <c r="J96" s="9" t="s">
        <v>340</v>
      </c>
      <c r="K96" s="10" t="s">
        <v>344</v>
      </c>
      <c r="L96" s="10" t="s">
        <v>190</v>
      </c>
      <c r="M96" s="10" t="s">
        <v>188</v>
      </c>
      <c r="N96" s="15"/>
      <c r="O96" s="10"/>
    </row>
    <row r="97" customFormat="false" ht="15" hidden="false" customHeight="false" outlineLevel="0" collapsed="false">
      <c r="A97" s="9" t="s">
        <v>558</v>
      </c>
      <c r="B97" s="10" t="s">
        <v>350</v>
      </c>
      <c r="C97" s="9" t="s">
        <v>47</v>
      </c>
      <c r="D97" s="9" t="s">
        <v>186</v>
      </c>
      <c r="E97" s="9" t="s">
        <v>559</v>
      </c>
      <c r="F97" s="9" t="s">
        <v>339</v>
      </c>
      <c r="G97" s="10" t="s">
        <v>78</v>
      </c>
      <c r="H97" s="10" t="s">
        <v>91</v>
      </c>
      <c r="I97" s="11" t="n">
        <v>1</v>
      </c>
      <c r="J97" s="9" t="s">
        <v>340</v>
      </c>
      <c r="K97" s="10" t="s">
        <v>367</v>
      </c>
      <c r="L97" s="10" t="s">
        <v>190</v>
      </c>
      <c r="M97" s="10" t="s">
        <v>188</v>
      </c>
      <c r="N97" s="15"/>
      <c r="O97" s="10"/>
    </row>
    <row r="98" customFormat="false" ht="15" hidden="false" customHeight="false" outlineLevel="0" collapsed="false">
      <c r="A98" s="9" t="s">
        <v>560</v>
      </c>
      <c r="B98" s="10" t="s">
        <v>337</v>
      </c>
      <c r="C98" s="9" t="s">
        <v>47</v>
      </c>
      <c r="D98" s="9" t="s">
        <v>191</v>
      </c>
      <c r="E98" s="9" t="s">
        <v>561</v>
      </c>
      <c r="F98" s="9" t="s">
        <v>562</v>
      </c>
      <c r="G98" s="10" t="s">
        <v>79</v>
      </c>
      <c r="H98" s="10" t="s">
        <v>91</v>
      </c>
      <c r="I98" s="11" t="n">
        <v>3</v>
      </c>
      <c r="J98" s="9" t="s">
        <v>340</v>
      </c>
      <c r="K98" s="10" t="s">
        <v>352</v>
      </c>
      <c r="L98" s="10" t="s">
        <v>195</v>
      </c>
      <c r="M98" s="10" t="s">
        <v>193</v>
      </c>
      <c r="N98" s="15"/>
      <c r="O98" s="10"/>
    </row>
    <row r="99" customFormat="false" ht="29.85" hidden="false" customHeight="false" outlineLevel="0" collapsed="false">
      <c r="A99" s="9" t="s">
        <v>563</v>
      </c>
      <c r="B99" s="10" t="s">
        <v>337</v>
      </c>
      <c r="C99" s="9" t="s">
        <v>47</v>
      </c>
      <c r="D99" s="9" t="s">
        <v>191</v>
      </c>
      <c r="E99" s="9" t="s">
        <v>564</v>
      </c>
      <c r="F99" s="9" t="s">
        <v>339</v>
      </c>
      <c r="G99" s="10" t="s">
        <v>75</v>
      </c>
      <c r="H99" s="10" t="s">
        <v>91</v>
      </c>
      <c r="I99" s="11" t="n">
        <v>1</v>
      </c>
      <c r="J99" s="9" t="s">
        <v>340</v>
      </c>
      <c r="K99" s="10" t="s">
        <v>344</v>
      </c>
      <c r="L99" s="10" t="s">
        <v>195</v>
      </c>
      <c r="M99" s="10" t="s">
        <v>193</v>
      </c>
      <c r="N99" s="15"/>
      <c r="O99" s="10"/>
    </row>
    <row r="100" customFormat="false" ht="15" hidden="false" customHeight="false" outlineLevel="0" collapsed="false">
      <c r="A100" s="9" t="s">
        <v>565</v>
      </c>
      <c r="B100" s="10" t="s">
        <v>350</v>
      </c>
      <c r="C100" s="9" t="s">
        <v>47</v>
      </c>
      <c r="D100" s="9" t="s">
        <v>191</v>
      </c>
      <c r="E100" s="9" t="s">
        <v>566</v>
      </c>
      <c r="F100" s="9" t="s">
        <v>339</v>
      </c>
      <c r="G100" s="10" t="s">
        <v>76</v>
      </c>
      <c r="H100" s="10" t="s">
        <v>97</v>
      </c>
      <c r="I100" s="11" t="n">
        <v>1</v>
      </c>
      <c r="J100" s="9" t="s">
        <v>340</v>
      </c>
      <c r="K100" s="10" t="s">
        <v>348</v>
      </c>
      <c r="L100" s="10" t="s">
        <v>195</v>
      </c>
      <c r="M100" s="10" t="s">
        <v>193</v>
      </c>
      <c r="N100" s="15"/>
      <c r="O100" s="10"/>
    </row>
    <row r="101" customFormat="false" ht="15" hidden="false" customHeight="false" outlineLevel="0" collapsed="false">
      <c r="A101" s="9" t="s">
        <v>567</v>
      </c>
      <c r="B101" s="10" t="s">
        <v>350</v>
      </c>
      <c r="C101" s="9" t="s">
        <v>47</v>
      </c>
      <c r="D101" s="9" t="s">
        <v>191</v>
      </c>
      <c r="E101" s="9" t="s">
        <v>568</v>
      </c>
      <c r="F101" s="9" t="s">
        <v>339</v>
      </c>
      <c r="G101" s="10" t="s">
        <v>78</v>
      </c>
      <c r="H101" s="10" t="s">
        <v>131</v>
      </c>
      <c r="I101" s="11" t="n">
        <v>1</v>
      </c>
      <c r="J101" s="9" t="s">
        <v>340</v>
      </c>
      <c r="K101" s="10" t="s">
        <v>367</v>
      </c>
      <c r="L101" s="10" t="s">
        <v>195</v>
      </c>
      <c r="M101" s="10" t="s">
        <v>193</v>
      </c>
      <c r="N101" s="15"/>
      <c r="O101" s="10"/>
    </row>
    <row r="102" customFormat="false" ht="15" hidden="false" customHeight="false" outlineLevel="0" collapsed="false">
      <c r="A102" s="9" t="s">
        <v>569</v>
      </c>
      <c r="B102" s="10" t="s">
        <v>350</v>
      </c>
      <c r="C102" s="9" t="s">
        <v>47</v>
      </c>
      <c r="D102" s="9" t="s">
        <v>191</v>
      </c>
      <c r="E102" s="9" t="s">
        <v>570</v>
      </c>
      <c r="F102" s="9" t="s">
        <v>339</v>
      </c>
      <c r="G102" s="10" t="s">
        <v>76</v>
      </c>
      <c r="H102" s="10" t="s">
        <v>91</v>
      </c>
      <c r="I102" s="11" t="n">
        <v>1</v>
      </c>
      <c r="J102" s="9" t="s">
        <v>340</v>
      </c>
      <c r="K102" s="10" t="s">
        <v>348</v>
      </c>
      <c r="L102" s="10" t="s">
        <v>195</v>
      </c>
      <c r="M102" s="10" t="s">
        <v>193</v>
      </c>
      <c r="N102" s="15"/>
      <c r="O102" s="10"/>
    </row>
    <row r="103" customFormat="false" ht="29.85" hidden="false" customHeight="false" outlineLevel="0" collapsed="false">
      <c r="A103" s="9" t="s">
        <v>571</v>
      </c>
      <c r="B103" s="10" t="s">
        <v>337</v>
      </c>
      <c r="C103" s="9" t="s">
        <v>47</v>
      </c>
      <c r="D103" s="9" t="s">
        <v>196</v>
      </c>
      <c r="E103" s="9" t="s">
        <v>572</v>
      </c>
      <c r="F103" s="9" t="s">
        <v>339</v>
      </c>
      <c r="G103" s="10" t="s">
        <v>75</v>
      </c>
      <c r="H103" s="10" t="s">
        <v>131</v>
      </c>
      <c r="I103" s="11" t="n">
        <v>1</v>
      </c>
      <c r="J103" s="9" t="s">
        <v>340</v>
      </c>
      <c r="K103" s="10" t="s">
        <v>344</v>
      </c>
      <c r="L103" s="10" t="s">
        <v>200</v>
      </c>
      <c r="M103" s="10" t="s">
        <v>198</v>
      </c>
      <c r="N103" s="15"/>
      <c r="O103" s="10"/>
    </row>
    <row r="104" customFormat="false" ht="15" hidden="false" customHeight="false" outlineLevel="0" collapsed="false">
      <c r="A104" s="9" t="s">
        <v>573</v>
      </c>
      <c r="B104" s="10" t="s">
        <v>337</v>
      </c>
      <c r="C104" s="9" t="s">
        <v>47</v>
      </c>
      <c r="D104" s="9" t="s">
        <v>196</v>
      </c>
      <c r="E104" s="9" t="s">
        <v>574</v>
      </c>
      <c r="F104" s="9" t="s">
        <v>339</v>
      </c>
      <c r="G104" s="10" t="s">
        <v>76</v>
      </c>
      <c r="H104" s="10" t="s">
        <v>131</v>
      </c>
      <c r="I104" s="11" t="n">
        <v>1</v>
      </c>
      <c r="J104" s="9" t="s">
        <v>340</v>
      </c>
      <c r="K104" s="10" t="s">
        <v>348</v>
      </c>
      <c r="L104" s="10" t="s">
        <v>200</v>
      </c>
      <c r="M104" s="10" t="s">
        <v>198</v>
      </c>
      <c r="N104" s="15"/>
      <c r="O104" s="10"/>
    </row>
    <row r="105" customFormat="false" ht="29.85" hidden="false" customHeight="false" outlineLevel="0" collapsed="false">
      <c r="A105" s="9" t="s">
        <v>575</v>
      </c>
      <c r="B105" s="10" t="s">
        <v>350</v>
      </c>
      <c r="C105" s="9" t="s">
        <v>47</v>
      </c>
      <c r="D105" s="9" t="s">
        <v>196</v>
      </c>
      <c r="E105" s="9" t="s">
        <v>576</v>
      </c>
      <c r="F105" s="9" t="s">
        <v>339</v>
      </c>
      <c r="G105" s="10" t="s">
        <v>75</v>
      </c>
      <c r="H105" s="10" t="s">
        <v>131</v>
      </c>
      <c r="I105" s="11" t="n">
        <v>1</v>
      </c>
      <c r="J105" s="9" t="s">
        <v>340</v>
      </c>
      <c r="K105" s="10" t="s">
        <v>344</v>
      </c>
      <c r="L105" s="10" t="s">
        <v>200</v>
      </c>
      <c r="M105" s="10" t="s">
        <v>198</v>
      </c>
      <c r="N105" s="15"/>
      <c r="O105" s="10"/>
    </row>
    <row r="106" customFormat="false" ht="15" hidden="false" customHeight="false" outlineLevel="0" collapsed="false">
      <c r="A106" s="9" t="s">
        <v>577</v>
      </c>
      <c r="B106" s="10" t="s">
        <v>350</v>
      </c>
      <c r="C106" s="9" t="s">
        <v>47</v>
      </c>
      <c r="D106" s="9" t="s">
        <v>196</v>
      </c>
      <c r="E106" s="9" t="s">
        <v>578</v>
      </c>
      <c r="F106" s="9" t="s">
        <v>339</v>
      </c>
      <c r="G106" s="10" t="s">
        <v>78</v>
      </c>
      <c r="H106" s="10" t="s">
        <v>91</v>
      </c>
      <c r="I106" s="11" t="n">
        <v>1</v>
      </c>
      <c r="J106" s="9" t="s">
        <v>340</v>
      </c>
      <c r="K106" s="10" t="s">
        <v>367</v>
      </c>
      <c r="L106" s="10" t="s">
        <v>200</v>
      </c>
      <c r="M106" s="10" t="s">
        <v>198</v>
      </c>
      <c r="N106" s="15"/>
      <c r="O106" s="10"/>
    </row>
    <row r="107" customFormat="false" ht="15" hidden="false" customHeight="false" outlineLevel="0" collapsed="false">
      <c r="A107" s="9" t="s">
        <v>579</v>
      </c>
      <c r="B107" s="10" t="s">
        <v>337</v>
      </c>
      <c r="C107" s="9" t="s">
        <v>47</v>
      </c>
      <c r="D107" s="9" t="s">
        <v>201</v>
      </c>
      <c r="E107" s="9" t="s">
        <v>580</v>
      </c>
      <c r="F107" s="9" t="s">
        <v>339</v>
      </c>
      <c r="G107" s="10" t="s">
        <v>79</v>
      </c>
      <c r="H107" s="10" t="s">
        <v>91</v>
      </c>
      <c r="I107" s="11" t="n">
        <v>1</v>
      </c>
      <c r="J107" s="9" t="s">
        <v>340</v>
      </c>
      <c r="K107" s="10" t="s">
        <v>352</v>
      </c>
      <c r="L107" s="10" t="s">
        <v>205</v>
      </c>
      <c r="M107" s="10" t="s">
        <v>203</v>
      </c>
      <c r="N107" s="15"/>
      <c r="O107" s="10"/>
    </row>
    <row r="108" customFormat="false" ht="15" hidden="false" customHeight="false" outlineLevel="0" collapsed="false">
      <c r="A108" s="9" t="s">
        <v>581</v>
      </c>
      <c r="B108" s="10" t="s">
        <v>337</v>
      </c>
      <c r="C108" s="9" t="s">
        <v>47</v>
      </c>
      <c r="D108" s="9" t="s">
        <v>201</v>
      </c>
      <c r="E108" s="9" t="s">
        <v>582</v>
      </c>
      <c r="F108" s="9" t="s">
        <v>339</v>
      </c>
      <c r="G108" s="10" t="s">
        <v>79</v>
      </c>
      <c r="H108" s="10" t="s">
        <v>91</v>
      </c>
      <c r="I108" s="11" t="n">
        <v>1</v>
      </c>
      <c r="J108" s="9" t="s">
        <v>340</v>
      </c>
      <c r="K108" s="10" t="s">
        <v>352</v>
      </c>
      <c r="L108" s="10" t="s">
        <v>205</v>
      </c>
      <c r="M108" s="10" t="s">
        <v>203</v>
      </c>
      <c r="N108" s="15"/>
      <c r="O108" s="10"/>
    </row>
    <row r="109" customFormat="false" ht="15" hidden="false" customHeight="false" outlineLevel="0" collapsed="false">
      <c r="A109" s="9" t="s">
        <v>583</v>
      </c>
      <c r="B109" s="10" t="s">
        <v>350</v>
      </c>
      <c r="C109" s="9" t="s">
        <v>47</v>
      </c>
      <c r="D109" s="9" t="s">
        <v>201</v>
      </c>
      <c r="E109" s="9" t="s">
        <v>584</v>
      </c>
      <c r="F109" s="9" t="s">
        <v>339</v>
      </c>
      <c r="G109" s="10" t="s">
        <v>76</v>
      </c>
      <c r="H109" s="10" t="s">
        <v>97</v>
      </c>
      <c r="I109" s="11" t="n">
        <v>1</v>
      </c>
      <c r="J109" s="9" t="s">
        <v>340</v>
      </c>
      <c r="K109" s="10" t="s">
        <v>348</v>
      </c>
      <c r="L109" s="10" t="s">
        <v>205</v>
      </c>
      <c r="M109" s="10" t="s">
        <v>203</v>
      </c>
      <c r="N109" s="15"/>
      <c r="O109" s="10"/>
    </row>
    <row r="110" customFormat="false" ht="15" hidden="false" customHeight="false" outlineLevel="0" collapsed="false">
      <c r="A110" s="9" t="s">
        <v>585</v>
      </c>
      <c r="B110" s="10" t="s">
        <v>350</v>
      </c>
      <c r="C110" s="9" t="s">
        <v>47</v>
      </c>
      <c r="D110" s="9" t="s">
        <v>201</v>
      </c>
      <c r="E110" s="9" t="s">
        <v>586</v>
      </c>
      <c r="F110" s="9" t="s">
        <v>339</v>
      </c>
      <c r="G110" s="10" t="s">
        <v>76</v>
      </c>
      <c r="H110" s="10" t="s">
        <v>97</v>
      </c>
      <c r="I110" s="11" t="n">
        <v>1</v>
      </c>
      <c r="J110" s="9" t="s">
        <v>340</v>
      </c>
      <c r="K110" s="10" t="s">
        <v>348</v>
      </c>
      <c r="L110" s="10" t="s">
        <v>205</v>
      </c>
      <c r="M110" s="10" t="s">
        <v>203</v>
      </c>
      <c r="N110" s="15"/>
      <c r="O110" s="10"/>
    </row>
    <row r="111" customFormat="false" ht="29.85" hidden="false" customHeight="false" outlineLevel="0" collapsed="false">
      <c r="A111" s="9" t="s">
        <v>587</v>
      </c>
      <c r="B111" s="10" t="s">
        <v>337</v>
      </c>
      <c r="C111" s="9" t="s">
        <v>49</v>
      </c>
      <c r="D111" s="9" t="s">
        <v>206</v>
      </c>
      <c r="E111" s="9" t="s">
        <v>588</v>
      </c>
      <c r="F111" s="9" t="s">
        <v>366</v>
      </c>
      <c r="G111" s="10" t="s">
        <v>77</v>
      </c>
      <c r="H111" s="10" t="s">
        <v>131</v>
      </c>
      <c r="I111" s="11" t="n">
        <v>8</v>
      </c>
      <c r="J111" s="9" t="s">
        <v>356</v>
      </c>
      <c r="K111" s="10" t="s">
        <v>341</v>
      </c>
      <c r="L111" s="10" t="s">
        <v>210</v>
      </c>
      <c r="M111" s="10" t="s">
        <v>208</v>
      </c>
      <c r="N111" s="15"/>
      <c r="O111" s="10"/>
    </row>
    <row r="112" customFormat="false" ht="29.85" hidden="false" customHeight="false" outlineLevel="0" collapsed="false">
      <c r="A112" s="9" t="s">
        <v>589</v>
      </c>
      <c r="B112" s="10" t="s">
        <v>337</v>
      </c>
      <c r="C112" s="9" t="s">
        <v>49</v>
      </c>
      <c r="D112" s="9" t="s">
        <v>206</v>
      </c>
      <c r="E112" s="9" t="s">
        <v>590</v>
      </c>
      <c r="F112" s="9" t="s">
        <v>339</v>
      </c>
      <c r="G112" s="10" t="s">
        <v>77</v>
      </c>
      <c r="H112" s="10" t="s">
        <v>131</v>
      </c>
      <c r="I112" s="11" t="n">
        <v>1</v>
      </c>
      <c r="J112" s="9" t="s">
        <v>340</v>
      </c>
      <c r="K112" s="10" t="s">
        <v>341</v>
      </c>
      <c r="L112" s="10" t="s">
        <v>210</v>
      </c>
      <c r="M112" s="10" t="s">
        <v>208</v>
      </c>
      <c r="N112" s="15"/>
      <c r="O112" s="10"/>
    </row>
    <row r="113" customFormat="false" ht="29.85" hidden="false" customHeight="false" outlineLevel="0" collapsed="false">
      <c r="A113" s="9" t="s">
        <v>591</v>
      </c>
      <c r="B113" s="10" t="s">
        <v>337</v>
      </c>
      <c r="C113" s="9" t="s">
        <v>49</v>
      </c>
      <c r="D113" s="9" t="s">
        <v>206</v>
      </c>
      <c r="E113" s="9" t="s">
        <v>592</v>
      </c>
      <c r="F113" s="9" t="s">
        <v>339</v>
      </c>
      <c r="G113" s="10" t="s">
        <v>77</v>
      </c>
      <c r="H113" s="10" t="s">
        <v>131</v>
      </c>
      <c r="I113" s="11" t="n">
        <v>1</v>
      </c>
      <c r="J113" s="9" t="s">
        <v>340</v>
      </c>
      <c r="K113" s="10" t="s">
        <v>341</v>
      </c>
      <c r="L113" s="10" t="s">
        <v>210</v>
      </c>
      <c r="M113" s="10" t="s">
        <v>208</v>
      </c>
      <c r="N113" s="15"/>
      <c r="O113" s="10"/>
    </row>
    <row r="114" customFormat="false" ht="15" hidden="false" customHeight="false" outlineLevel="0" collapsed="false">
      <c r="A114" s="9" t="s">
        <v>593</v>
      </c>
      <c r="B114" s="10" t="s">
        <v>350</v>
      </c>
      <c r="C114" s="9" t="s">
        <v>49</v>
      </c>
      <c r="D114" s="9" t="s">
        <v>206</v>
      </c>
      <c r="E114" s="9" t="s">
        <v>594</v>
      </c>
      <c r="F114" s="9" t="s">
        <v>339</v>
      </c>
      <c r="G114" s="10" t="s">
        <v>78</v>
      </c>
      <c r="H114" s="10" t="s">
        <v>131</v>
      </c>
      <c r="I114" s="11" t="n">
        <v>1</v>
      </c>
      <c r="J114" s="9" t="s">
        <v>340</v>
      </c>
      <c r="K114" s="10" t="s">
        <v>367</v>
      </c>
      <c r="L114" s="10" t="s">
        <v>210</v>
      </c>
      <c r="M114" s="10" t="s">
        <v>208</v>
      </c>
      <c r="N114" s="15"/>
      <c r="O114" s="10"/>
    </row>
    <row r="115" customFormat="false" ht="29.85" hidden="false" customHeight="false" outlineLevel="0" collapsed="false">
      <c r="A115" s="9" t="s">
        <v>595</v>
      </c>
      <c r="B115" s="10" t="s">
        <v>350</v>
      </c>
      <c r="C115" s="9" t="s">
        <v>49</v>
      </c>
      <c r="D115" s="9" t="s">
        <v>206</v>
      </c>
      <c r="E115" s="9" t="s">
        <v>596</v>
      </c>
      <c r="F115" s="9" t="s">
        <v>339</v>
      </c>
      <c r="G115" s="10" t="s">
        <v>77</v>
      </c>
      <c r="H115" s="10" t="s">
        <v>131</v>
      </c>
      <c r="I115" s="11" t="n">
        <v>1</v>
      </c>
      <c r="J115" s="9" t="s">
        <v>340</v>
      </c>
      <c r="K115" s="10" t="s">
        <v>341</v>
      </c>
      <c r="L115" s="10" t="s">
        <v>210</v>
      </c>
      <c r="M115" s="10" t="s">
        <v>208</v>
      </c>
      <c r="N115" s="15"/>
      <c r="O115" s="10"/>
    </row>
    <row r="116" customFormat="false" ht="29.85" hidden="false" customHeight="false" outlineLevel="0" collapsed="false">
      <c r="A116" s="9" t="s">
        <v>597</v>
      </c>
      <c r="B116" s="10" t="s">
        <v>337</v>
      </c>
      <c r="C116" s="9" t="s">
        <v>49</v>
      </c>
      <c r="D116" s="9" t="s">
        <v>211</v>
      </c>
      <c r="E116" s="9" t="s">
        <v>598</v>
      </c>
      <c r="F116" s="9" t="s">
        <v>339</v>
      </c>
      <c r="G116" s="10" t="s">
        <v>77</v>
      </c>
      <c r="H116" s="10" t="s">
        <v>91</v>
      </c>
      <c r="I116" s="11" t="n">
        <v>1</v>
      </c>
      <c r="J116" s="9" t="s">
        <v>340</v>
      </c>
      <c r="K116" s="10" t="s">
        <v>341</v>
      </c>
      <c r="L116" s="10" t="s">
        <v>215</v>
      </c>
      <c r="M116" s="10" t="s">
        <v>213</v>
      </c>
      <c r="N116" s="15"/>
      <c r="O116" s="10"/>
    </row>
    <row r="117" customFormat="false" ht="29.85" hidden="false" customHeight="false" outlineLevel="0" collapsed="false">
      <c r="A117" s="9" t="s">
        <v>599</v>
      </c>
      <c r="B117" s="10" t="s">
        <v>337</v>
      </c>
      <c r="C117" s="9" t="s">
        <v>49</v>
      </c>
      <c r="D117" s="9" t="s">
        <v>211</v>
      </c>
      <c r="E117" s="9" t="s">
        <v>600</v>
      </c>
      <c r="F117" s="9" t="s">
        <v>339</v>
      </c>
      <c r="G117" s="10" t="s">
        <v>77</v>
      </c>
      <c r="H117" s="10" t="s">
        <v>91</v>
      </c>
      <c r="I117" s="11" t="n">
        <v>1</v>
      </c>
      <c r="J117" s="9" t="s">
        <v>340</v>
      </c>
      <c r="K117" s="10" t="s">
        <v>341</v>
      </c>
      <c r="L117" s="10" t="s">
        <v>215</v>
      </c>
      <c r="M117" s="10" t="s">
        <v>213</v>
      </c>
      <c r="N117" s="15"/>
      <c r="O117" s="10"/>
    </row>
    <row r="118" customFormat="false" ht="29.85" hidden="false" customHeight="false" outlineLevel="0" collapsed="false">
      <c r="A118" s="9" t="s">
        <v>601</v>
      </c>
      <c r="B118" s="10" t="s">
        <v>350</v>
      </c>
      <c r="C118" s="9" t="s">
        <v>49</v>
      </c>
      <c r="D118" s="9" t="s">
        <v>211</v>
      </c>
      <c r="E118" s="9" t="s">
        <v>602</v>
      </c>
      <c r="F118" s="9" t="s">
        <v>339</v>
      </c>
      <c r="G118" s="10" t="s">
        <v>75</v>
      </c>
      <c r="H118" s="10" t="s">
        <v>91</v>
      </c>
      <c r="I118" s="11" t="n">
        <v>1</v>
      </c>
      <c r="J118" s="9" t="s">
        <v>340</v>
      </c>
      <c r="K118" s="10" t="s">
        <v>344</v>
      </c>
      <c r="L118" s="10" t="s">
        <v>215</v>
      </c>
      <c r="M118" s="10" t="s">
        <v>213</v>
      </c>
      <c r="N118" s="15"/>
      <c r="O118" s="10"/>
    </row>
    <row r="119" customFormat="false" ht="29.85" hidden="false" customHeight="false" outlineLevel="0" collapsed="false">
      <c r="A119" s="9" t="s">
        <v>603</v>
      </c>
      <c r="B119" s="10" t="s">
        <v>350</v>
      </c>
      <c r="C119" s="9" t="s">
        <v>49</v>
      </c>
      <c r="D119" s="9" t="s">
        <v>211</v>
      </c>
      <c r="E119" s="9" t="s">
        <v>604</v>
      </c>
      <c r="F119" s="9" t="s">
        <v>339</v>
      </c>
      <c r="G119" s="10" t="s">
        <v>75</v>
      </c>
      <c r="H119" s="10" t="s">
        <v>97</v>
      </c>
      <c r="I119" s="11" t="n">
        <v>1</v>
      </c>
      <c r="J119" s="9" t="s">
        <v>340</v>
      </c>
      <c r="K119" s="10" t="s">
        <v>344</v>
      </c>
      <c r="L119" s="10" t="s">
        <v>215</v>
      </c>
      <c r="M119" s="10" t="s">
        <v>213</v>
      </c>
      <c r="N119" s="15"/>
      <c r="O119" s="10"/>
    </row>
    <row r="120" customFormat="false" ht="29.85" hidden="false" customHeight="false" outlineLevel="0" collapsed="false">
      <c r="A120" s="9" t="s">
        <v>605</v>
      </c>
      <c r="B120" s="10" t="s">
        <v>337</v>
      </c>
      <c r="C120" s="9" t="s">
        <v>49</v>
      </c>
      <c r="D120" s="9" t="s">
        <v>216</v>
      </c>
      <c r="E120" s="9" t="s">
        <v>606</v>
      </c>
      <c r="F120" s="9" t="s">
        <v>339</v>
      </c>
      <c r="G120" s="10" t="s">
        <v>75</v>
      </c>
      <c r="H120" s="10" t="s">
        <v>91</v>
      </c>
      <c r="I120" s="11" t="n">
        <v>1</v>
      </c>
      <c r="J120" s="9" t="s">
        <v>340</v>
      </c>
      <c r="K120" s="10" t="s">
        <v>344</v>
      </c>
      <c r="L120" s="10" t="s">
        <v>220</v>
      </c>
      <c r="M120" s="10" t="s">
        <v>218</v>
      </c>
      <c r="N120" s="15"/>
      <c r="O120" s="10"/>
    </row>
    <row r="121" customFormat="false" ht="29.85" hidden="false" customHeight="false" outlineLevel="0" collapsed="false">
      <c r="A121" s="9" t="s">
        <v>607</v>
      </c>
      <c r="B121" s="10" t="s">
        <v>337</v>
      </c>
      <c r="C121" s="9" t="s">
        <v>49</v>
      </c>
      <c r="D121" s="9" t="s">
        <v>216</v>
      </c>
      <c r="E121" s="9" t="s">
        <v>608</v>
      </c>
      <c r="F121" s="9" t="s">
        <v>339</v>
      </c>
      <c r="G121" s="10" t="s">
        <v>75</v>
      </c>
      <c r="H121" s="10" t="s">
        <v>91</v>
      </c>
      <c r="I121" s="11" t="n">
        <v>1</v>
      </c>
      <c r="J121" s="9" t="s">
        <v>340</v>
      </c>
      <c r="K121" s="10" t="s">
        <v>344</v>
      </c>
      <c r="L121" s="10" t="s">
        <v>220</v>
      </c>
      <c r="M121" s="10" t="s">
        <v>218</v>
      </c>
      <c r="N121" s="15"/>
      <c r="O121" s="10"/>
    </row>
    <row r="122" customFormat="false" ht="15" hidden="false" customHeight="false" outlineLevel="0" collapsed="false">
      <c r="A122" s="9" t="s">
        <v>609</v>
      </c>
      <c r="B122" s="10" t="s">
        <v>350</v>
      </c>
      <c r="C122" s="9" t="s">
        <v>49</v>
      </c>
      <c r="D122" s="9" t="s">
        <v>216</v>
      </c>
      <c r="E122" s="9" t="s">
        <v>610</v>
      </c>
      <c r="F122" s="9" t="s">
        <v>339</v>
      </c>
      <c r="G122" s="10" t="s">
        <v>76</v>
      </c>
      <c r="H122" s="10" t="s">
        <v>91</v>
      </c>
      <c r="I122" s="11" t="n">
        <v>1</v>
      </c>
      <c r="J122" s="9" t="s">
        <v>340</v>
      </c>
      <c r="K122" s="10" t="s">
        <v>348</v>
      </c>
      <c r="L122" s="10" t="s">
        <v>220</v>
      </c>
      <c r="M122" s="10" t="s">
        <v>218</v>
      </c>
      <c r="N122" s="15"/>
      <c r="O122" s="10"/>
    </row>
    <row r="123" customFormat="false" ht="15" hidden="false" customHeight="false" outlineLevel="0" collapsed="false">
      <c r="A123" s="9" t="s">
        <v>611</v>
      </c>
      <c r="B123" s="10" t="s">
        <v>350</v>
      </c>
      <c r="C123" s="9" t="s">
        <v>49</v>
      </c>
      <c r="D123" s="9" t="s">
        <v>216</v>
      </c>
      <c r="E123" s="9" t="s">
        <v>612</v>
      </c>
      <c r="F123" s="9" t="s">
        <v>339</v>
      </c>
      <c r="G123" s="10" t="s">
        <v>79</v>
      </c>
      <c r="H123" s="10" t="s">
        <v>91</v>
      </c>
      <c r="I123" s="11" t="n">
        <v>1</v>
      </c>
      <c r="J123" s="9" t="s">
        <v>340</v>
      </c>
      <c r="K123" s="10" t="s">
        <v>352</v>
      </c>
      <c r="L123" s="10" t="s">
        <v>220</v>
      </c>
      <c r="M123" s="10" t="s">
        <v>218</v>
      </c>
      <c r="N123" s="15"/>
      <c r="O123" s="10"/>
    </row>
    <row r="124" customFormat="false" ht="29.85" hidden="false" customHeight="false" outlineLevel="0" collapsed="false">
      <c r="A124" s="9" t="s">
        <v>613</v>
      </c>
      <c r="B124" s="10" t="s">
        <v>337</v>
      </c>
      <c r="C124" s="9" t="s">
        <v>49</v>
      </c>
      <c r="D124" s="9" t="s">
        <v>221</v>
      </c>
      <c r="E124" s="9" t="s">
        <v>614</v>
      </c>
      <c r="F124" s="9" t="s">
        <v>615</v>
      </c>
      <c r="G124" s="10" t="s">
        <v>76</v>
      </c>
      <c r="H124" s="10" t="s">
        <v>91</v>
      </c>
      <c r="I124" s="11" t="n">
        <v>5</v>
      </c>
      <c r="J124" s="9" t="s">
        <v>340</v>
      </c>
      <c r="K124" s="10" t="s">
        <v>348</v>
      </c>
      <c r="L124" s="10" t="s">
        <v>200</v>
      </c>
      <c r="M124" s="10" t="s">
        <v>223</v>
      </c>
      <c r="N124" s="15"/>
      <c r="O124" s="10"/>
    </row>
    <row r="125" customFormat="false" ht="29.85" hidden="false" customHeight="false" outlineLevel="0" collapsed="false">
      <c r="A125" s="9" t="s">
        <v>616</v>
      </c>
      <c r="B125" s="10" t="s">
        <v>337</v>
      </c>
      <c r="C125" s="9" t="s">
        <v>49</v>
      </c>
      <c r="D125" s="9" t="s">
        <v>221</v>
      </c>
      <c r="E125" s="9" t="s">
        <v>617</v>
      </c>
      <c r="F125" s="9" t="s">
        <v>339</v>
      </c>
      <c r="G125" s="10" t="s">
        <v>75</v>
      </c>
      <c r="H125" s="10" t="s">
        <v>91</v>
      </c>
      <c r="I125" s="11" t="n">
        <v>1</v>
      </c>
      <c r="J125" s="9" t="s">
        <v>340</v>
      </c>
      <c r="K125" s="10" t="s">
        <v>344</v>
      </c>
      <c r="L125" s="10" t="s">
        <v>200</v>
      </c>
      <c r="M125" s="10" t="s">
        <v>223</v>
      </c>
      <c r="N125" s="15"/>
      <c r="O125" s="10"/>
    </row>
    <row r="126" customFormat="false" ht="15" hidden="false" customHeight="false" outlineLevel="0" collapsed="false">
      <c r="A126" s="9" t="s">
        <v>618</v>
      </c>
      <c r="B126" s="10" t="s">
        <v>350</v>
      </c>
      <c r="C126" s="9" t="s">
        <v>49</v>
      </c>
      <c r="D126" s="9" t="s">
        <v>221</v>
      </c>
      <c r="E126" s="9" t="s">
        <v>619</v>
      </c>
      <c r="F126" s="9" t="s">
        <v>339</v>
      </c>
      <c r="G126" s="10" t="s">
        <v>78</v>
      </c>
      <c r="H126" s="10" t="s">
        <v>131</v>
      </c>
      <c r="I126" s="11" t="n">
        <v>1</v>
      </c>
      <c r="J126" s="9" t="s">
        <v>340</v>
      </c>
      <c r="K126" s="10" t="s">
        <v>367</v>
      </c>
      <c r="L126" s="10" t="s">
        <v>200</v>
      </c>
      <c r="M126" s="10" t="s">
        <v>223</v>
      </c>
      <c r="N126" s="15"/>
      <c r="O126" s="10"/>
    </row>
    <row r="127" customFormat="false" ht="15" hidden="false" customHeight="false" outlineLevel="0" collapsed="false">
      <c r="A127" s="9" t="s">
        <v>620</v>
      </c>
      <c r="B127" s="10" t="s">
        <v>350</v>
      </c>
      <c r="C127" s="9" t="s">
        <v>49</v>
      </c>
      <c r="D127" s="9" t="s">
        <v>221</v>
      </c>
      <c r="E127" s="9" t="s">
        <v>621</v>
      </c>
      <c r="F127" s="9" t="s">
        <v>339</v>
      </c>
      <c r="G127" s="10" t="s">
        <v>76</v>
      </c>
      <c r="H127" s="10" t="s">
        <v>91</v>
      </c>
      <c r="I127" s="11" t="n">
        <v>1</v>
      </c>
      <c r="J127" s="9" t="s">
        <v>340</v>
      </c>
      <c r="K127" s="10" t="s">
        <v>348</v>
      </c>
      <c r="L127" s="10" t="s">
        <v>200</v>
      </c>
      <c r="M127" s="10" t="s">
        <v>223</v>
      </c>
      <c r="N127" s="15"/>
      <c r="O127" s="10"/>
    </row>
    <row r="128" customFormat="false" ht="15" hidden="false" customHeight="false" outlineLevel="0" collapsed="false">
      <c r="A128" s="9" t="s">
        <v>622</v>
      </c>
      <c r="B128" s="10" t="s">
        <v>337</v>
      </c>
      <c r="C128" s="9" t="s">
        <v>51</v>
      </c>
      <c r="D128" s="9" t="s">
        <v>225</v>
      </c>
      <c r="E128" s="9" t="s">
        <v>623</v>
      </c>
      <c r="F128" s="9" t="s">
        <v>339</v>
      </c>
      <c r="G128" s="10" t="s">
        <v>76</v>
      </c>
      <c r="H128" s="10" t="s">
        <v>91</v>
      </c>
      <c r="I128" s="11" t="n">
        <v>1</v>
      </c>
      <c r="J128" s="9" t="s">
        <v>340</v>
      </c>
      <c r="K128" s="10" t="s">
        <v>348</v>
      </c>
      <c r="L128" s="10" t="s">
        <v>229</v>
      </c>
      <c r="M128" s="10" t="s">
        <v>227</v>
      </c>
      <c r="N128" s="15"/>
      <c r="O128" s="10"/>
    </row>
    <row r="129" customFormat="false" ht="29.85" hidden="false" customHeight="false" outlineLevel="0" collapsed="false">
      <c r="A129" s="9" t="s">
        <v>624</v>
      </c>
      <c r="B129" s="10" t="s">
        <v>337</v>
      </c>
      <c r="C129" s="9" t="s">
        <v>51</v>
      </c>
      <c r="D129" s="9" t="s">
        <v>225</v>
      </c>
      <c r="E129" s="9" t="s">
        <v>625</v>
      </c>
      <c r="F129" s="9" t="s">
        <v>339</v>
      </c>
      <c r="G129" s="10" t="s">
        <v>75</v>
      </c>
      <c r="H129" s="10" t="s">
        <v>97</v>
      </c>
      <c r="I129" s="11" t="n">
        <v>1</v>
      </c>
      <c r="J129" s="9" t="s">
        <v>340</v>
      </c>
      <c r="K129" s="10" t="s">
        <v>344</v>
      </c>
      <c r="L129" s="10" t="s">
        <v>229</v>
      </c>
      <c r="M129" s="10" t="s">
        <v>227</v>
      </c>
      <c r="N129" s="15"/>
      <c r="O129" s="10"/>
    </row>
    <row r="130" customFormat="false" ht="29.85" hidden="false" customHeight="false" outlineLevel="0" collapsed="false">
      <c r="A130" s="9" t="s">
        <v>626</v>
      </c>
      <c r="B130" s="10" t="s">
        <v>350</v>
      </c>
      <c r="C130" s="9" t="s">
        <v>51</v>
      </c>
      <c r="D130" s="9" t="s">
        <v>225</v>
      </c>
      <c r="E130" s="9" t="s">
        <v>627</v>
      </c>
      <c r="F130" s="9" t="s">
        <v>339</v>
      </c>
      <c r="G130" s="10" t="s">
        <v>75</v>
      </c>
      <c r="H130" s="10" t="s">
        <v>91</v>
      </c>
      <c r="I130" s="11" t="n">
        <v>1</v>
      </c>
      <c r="J130" s="9" t="s">
        <v>340</v>
      </c>
      <c r="K130" s="10" t="s">
        <v>344</v>
      </c>
      <c r="L130" s="10" t="s">
        <v>229</v>
      </c>
      <c r="M130" s="10" t="s">
        <v>227</v>
      </c>
      <c r="N130" s="15"/>
      <c r="O130" s="10"/>
    </row>
    <row r="131" customFormat="false" ht="15" hidden="false" customHeight="false" outlineLevel="0" collapsed="false">
      <c r="A131" s="9" t="s">
        <v>628</v>
      </c>
      <c r="B131" s="10" t="s">
        <v>350</v>
      </c>
      <c r="C131" s="9" t="s">
        <v>51</v>
      </c>
      <c r="D131" s="9" t="s">
        <v>225</v>
      </c>
      <c r="E131" s="9" t="s">
        <v>629</v>
      </c>
      <c r="F131" s="9" t="s">
        <v>339</v>
      </c>
      <c r="G131" s="10" t="s">
        <v>78</v>
      </c>
      <c r="H131" s="10" t="s">
        <v>91</v>
      </c>
      <c r="I131" s="11" t="n">
        <v>1</v>
      </c>
      <c r="J131" s="9" t="s">
        <v>340</v>
      </c>
      <c r="K131" s="10" t="s">
        <v>367</v>
      </c>
      <c r="L131" s="10" t="s">
        <v>229</v>
      </c>
      <c r="M131" s="10" t="s">
        <v>227</v>
      </c>
      <c r="N131" s="15"/>
      <c r="O131" s="10"/>
    </row>
    <row r="132" customFormat="false" ht="29.85" hidden="false" customHeight="false" outlineLevel="0" collapsed="false">
      <c r="A132" s="9" t="s">
        <v>630</v>
      </c>
      <c r="B132" s="10" t="s">
        <v>337</v>
      </c>
      <c r="C132" s="9" t="s">
        <v>51</v>
      </c>
      <c r="D132" s="9" t="s">
        <v>230</v>
      </c>
      <c r="E132" s="9" t="s">
        <v>631</v>
      </c>
      <c r="F132" s="9" t="s">
        <v>339</v>
      </c>
      <c r="G132" s="10" t="s">
        <v>77</v>
      </c>
      <c r="H132" s="10" t="s">
        <v>91</v>
      </c>
      <c r="I132" s="11" t="n">
        <v>1</v>
      </c>
      <c r="J132" s="9" t="s">
        <v>340</v>
      </c>
      <c r="K132" s="10" t="s">
        <v>341</v>
      </c>
      <c r="L132" s="10" t="s">
        <v>162</v>
      </c>
      <c r="M132" s="10" t="s">
        <v>232</v>
      </c>
      <c r="N132" s="15"/>
      <c r="O132" s="10"/>
    </row>
    <row r="133" customFormat="false" ht="15" hidden="false" customHeight="false" outlineLevel="0" collapsed="false">
      <c r="A133" s="9" t="s">
        <v>632</v>
      </c>
      <c r="B133" s="10" t="s">
        <v>337</v>
      </c>
      <c r="C133" s="9" t="s">
        <v>51</v>
      </c>
      <c r="D133" s="9" t="s">
        <v>230</v>
      </c>
      <c r="E133" s="9" t="s">
        <v>633</v>
      </c>
      <c r="F133" s="9" t="s">
        <v>339</v>
      </c>
      <c r="G133" s="10" t="s">
        <v>76</v>
      </c>
      <c r="H133" s="10" t="s">
        <v>97</v>
      </c>
      <c r="I133" s="11" t="n">
        <v>1</v>
      </c>
      <c r="J133" s="9" t="s">
        <v>340</v>
      </c>
      <c r="K133" s="10" t="s">
        <v>348</v>
      </c>
      <c r="L133" s="10" t="s">
        <v>162</v>
      </c>
      <c r="M133" s="10" t="s">
        <v>232</v>
      </c>
      <c r="N133" s="15"/>
      <c r="O133" s="10"/>
    </row>
    <row r="134" customFormat="false" ht="29.85" hidden="false" customHeight="false" outlineLevel="0" collapsed="false">
      <c r="A134" s="9" t="s">
        <v>634</v>
      </c>
      <c r="B134" s="10" t="s">
        <v>350</v>
      </c>
      <c r="C134" s="9" t="s">
        <v>51</v>
      </c>
      <c r="D134" s="9" t="s">
        <v>230</v>
      </c>
      <c r="E134" s="9" t="s">
        <v>635</v>
      </c>
      <c r="F134" s="9" t="s">
        <v>339</v>
      </c>
      <c r="G134" s="10" t="s">
        <v>77</v>
      </c>
      <c r="H134" s="10" t="s">
        <v>91</v>
      </c>
      <c r="I134" s="11" t="n">
        <v>1</v>
      </c>
      <c r="J134" s="9" t="s">
        <v>340</v>
      </c>
      <c r="K134" s="10" t="s">
        <v>341</v>
      </c>
      <c r="L134" s="10" t="s">
        <v>162</v>
      </c>
      <c r="M134" s="10" t="s">
        <v>232</v>
      </c>
      <c r="N134" s="15"/>
      <c r="O134" s="10"/>
    </row>
    <row r="135" customFormat="false" ht="15" hidden="false" customHeight="false" outlineLevel="0" collapsed="false">
      <c r="A135" s="9" t="s">
        <v>636</v>
      </c>
      <c r="B135" s="10" t="s">
        <v>350</v>
      </c>
      <c r="C135" s="9" t="s">
        <v>51</v>
      </c>
      <c r="D135" s="9" t="s">
        <v>230</v>
      </c>
      <c r="E135" s="9" t="s">
        <v>637</v>
      </c>
      <c r="F135" s="9" t="s">
        <v>339</v>
      </c>
      <c r="G135" s="10" t="s">
        <v>76</v>
      </c>
      <c r="H135" s="10" t="s">
        <v>91</v>
      </c>
      <c r="I135" s="11" t="n">
        <v>1</v>
      </c>
      <c r="J135" s="9" t="s">
        <v>340</v>
      </c>
      <c r="K135" s="10" t="s">
        <v>348</v>
      </c>
      <c r="L135" s="10" t="s">
        <v>162</v>
      </c>
      <c r="M135" s="10" t="s">
        <v>232</v>
      </c>
      <c r="N135" s="15"/>
      <c r="O135" s="10"/>
    </row>
    <row r="136" customFormat="false" ht="29.85" hidden="false" customHeight="false" outlineLevel="0" collapsed="false">
      <c r="A136" s="9" t="s">
        <v>638</v>
      </c>
      <c r="B136" s="10" t="s">
        <v>337</v>
      </c>
      <c r="C136" s="9" t="s">
        <v>51</v>
      </c>
      <c r="D136" s="9" t="s">
        <v>234</v>
      </c>
      <c r="E136" s="9" t="s">
        <v>639</v>
      </c>
      <c r="F136" s="9" t="s">
        <v>339</v>
      </c>
      <c r="G136" s="10" t="s">
        <v>77</v>
      </c>
      <c r="H136" s="10" t="s">
        <v>97</v>
      </c>
      <c r="I136" s="11" t="n">
        <v>1</v>
      </c>
      <c r="J136" s="9" t="s">
        <v>340</v>
      </c>
      <c r="K136" s="10" t="s">
        <v>341</v>
      </c>
      <c r="L136" s="10" t="s">
        <v>238</v>
      </c>
      <c r="M136" s="10" t="s">
        <v>236</v>
      </c>
      <c r="N136" s="15"/>
      <c r="O136" s="10"/>
    </row>
    <row r="137" customFormat="false" ht="29.85" hidden="false" customHeight="false" outlineLevel="0" collapsed="false">
      <c r="A137" s="9" t="s">
        <v>640</v>
      </c>
      <c r="B137" s="10" t="s">
        <v>337</v>
      </c>
      <c r="C137" s="9" t="s">
        <v>51</v>
      </c>
      <c r="D137" s="9" t="s">
        <v>234</v>
      </c>
      <c r="E137" s="9" t="s">
        <v>641</v>
      </c>
      <c r="F137" s="9" t="s">
        <v>339</v>
      </c>
      <c r="G137" s="10" t="s">
        <v>77</v>
      </c>
      <c r="H137" s="10" t="s">
        <v>97</v>
      </c>
      <c r="I137" s="11" t="n">
        <v>1</v>
      </c>
      <c r="J137" s="9" t="s">
        <v>340</v>
      </c>
      <c r="K137" s="10" t="s">
        <v>341</v>
      </c>
      <c r="L137" s="10" t="s">
        <v>238</v>
      </c>
      <c r="M137" s="10" t="s">
        <v>236</v>
      </c>
      <c r="N137" s="15"/>
      <c r="O137" s="10"/>
    </row>
    <row r="138" customFormat="false" ht="15" hidden="false" customHeight="false" outlineLevel="0" collapsed="false">
      <c r="A138" s="9" t="s">
        <v>642</v>
      </c>
      <c r="B138" s="10" t="s">
        <v>350</v>
      </c>
      <c r="C138" s="9" t="s">
        <v>51</v>
      </c>
      <c r="D138" s="9" t="s">
        <v>234</v>
      </c>
      <c r="E138" s="9" t="s">
        <v>643</v>
      </c>
      <c r="F138" s="9" t="s">
        <v>339</v>
      </c>
      <c r="G138" s="10" t="s">
        <v>79</v>
      </c>
      <c r="H138" s="10" t="s">
        <v>97</v>
      </c>
      <c r="I138" s="11" t="n">
        <v>1</v>
      </c>
      <c r="J138" s="9" t="s">
        <v>340</v>
      </c>
      <c r="K138" s="10" t="s">
        <v>352</v>
      </c>
      <c r="L138" s="10" t="s">
        <v>238</v>
      </c>
      <c r="M138" s="10" t="s">
        <v>236</v>
      </c>
      <c r="N138" s="15"/>
      <c r="O138" s="10"/>
    </row>
    <row r="139" customFormat="false" ht="15" hidden="false" customHeight="false" outlineLevel="0" collapsed="false">
      <c r="A139" s="9" t="s">
        <v>644</v>
      </c>
      <c r="B139" s="10" t="s">
        <v>350</v>
      </c>
      <c r="C139" s="9" t="s">
        <v>51</v>
      </c>
      <c r="D139" s="9" t="s">
        <v>234</v>
      </c>
      <c r="E139" s="9" t="s">
        <v>645</v>
      </c>
      <c r="F139" s="9" t="s">
        <v>339</v>
      </c>
      <c r="G139" s="10" t="s">
        <v>78</v>
      </c>
      <c r="H139" s="10" t="s">
        <v>91</v>
      </c>
      <c r="I139" s="11" t="n">
        <v>1</v>
      </c>
      <c r="J139" s="9" t="s">
        <v>340</v>
      </c>
      <c r="K139" s="10" t="s">
        <v>367</v>
      </c>
      <c r="L139" s="10" t="s">
        <v>238</v>
      </c>
      <c r="M139" s="10" t="s">
        <v>236</v>
      </c>
      <c r="N139" s="15"/>
      <c r="O139" s="10"/>
    </row>
    <row r="140" customFormat="false" ht="29.85" hidden="false" customHeight="false" outlineLevel="0" collapsed="false">
      <c r="A140" s="9" t="s">
        <v>646</v>
      </c>
      <c r="B140" s="10" t="s">
        <v>337</v>
      </c>
      <c r="C140" s="9" t="s">
        <v>51</v>
      </c>
      <c r="D140" s="9" t="s">
        <v>239</v>
      </c>
      <c r="E140" s="9" t="s">
        <v>647</v>
      </c>
      <c r="F140" s="9" t="s">
        <v>339</v>
      </c>
      <c r="G140" s="10" t="s">
        <v>75</v>
      </c>
      <c r="H140" s="10" t="s">
        <v>91</v>
      </c>
      <c r="I140" s="11" t="n">
        <v>1</v>
      </c>
      <c r="J140" s="9" t="s">
        <v>340</v>
      </c>
      <c r="K140" s="10" t="s">
        <v>344</v>
      </c>
      <c r="L140" s="10" t="s">
        <v>243</v>
      </c>
      <c r="M140" s="10" t="s">
        <v>241</v>
      </c>
      <c r="N140" s="15"/>
      <c r="O140" s="10"/>
    </row>
    <row r="141" customFormat="false" ht="29.85" hidden="false" customHeight="false" outlineLevel="0" collapsed="false">
      <c r="A141" s="9" t="s">
        <v>648</v>
      </c>
      <c r="B141" s="10" t="s">
        <v>337</v>
      </c>
      <c r="C141" s="9" t="s">
        <v>51</v>
      </c>
      <c r="D141" s="9" t="s">
        <v>239</v>
      </c>
      <c r="E141" s="9" t="s">
        <v>649</v>
      </c>
      <c r="F141" s="9" t="s">
        <v>339</v>
      </c>
      <c r="G141" s="10" t="s">
        <v>77</v>
      </c>
      <c r="H141" s="10" t="s">
        <v>91</v>
      </c>
      <c r="I141" s="11" t="n">
        <v>1</v>
      </c>
      <c r="J141" s="9" t="s">
        <v>340</v>
      </c>
      <c r="K141" s="10" t="s">
        <v>341</v>
      </c>
      <c r="L141" s="10" t="s">
        <v>243</v>
      </c>
      <c r="M141" s="10" t="s">
        <v>241</v>
      </c>
      <c r="N141" s="15"/>
      <c r="O141" s="10"/>
    </row>
    <row r="142" customFormat="false" ht="29.85" hidden="false" customHeight="false" outlineLevel="0" collapsed="false">
      <c r="A142" s="9" t="s">
        <v>650</v>
      </c>
      <c r="B142" s="10" t="s">
        <v>350</v>
      </c>
      <c r="C142" s="9" t="s">
        <v>51</v>
      </c>
      <c r="D142" s="9" t="s">
        <v>239</v>
      </c>
      <c r="E142" s="9" t="s">
        <v>651</v>
      </c>
      <c r="F142" s="9" t="s">
        <v>339</v>
      </c>
      <c r="G142" s="10" t="s">
        <v>77</v>
      </c>
      <c r="H142" s="10" t="s">
        <v>91</v>
      </c>
      <c r="I142" s="11" t="n">
        <v>1</v>
      </c>
      <c r="J142" s="9" t="s">
        <v>340</v>
      </c>
      <c r="K142" s="10" t="s">
        <v>341</v>
      </c>
      <c r="L142" s="10" t="s">
        <v>243</v>
      </c>
      <c r="M142" s="10" t="s">
        <v>241</v>
      </c>
      <c r="N142" s="15"/>
      <c r="O142" s="10"/>
    </row>
    <row r="143" customFormat="false" ht="15" hidden="false" customHeight="false" outlineLevel="0" collapsed="false">
      <c r="A143" s="9" t="s">
        <v>652</v>
      </c>
      <c r="B143" s="10" t="s">
        <v>350</v>
      </c>
      <c r="C143" s="9" t="s">
        <v>51</v>
      </c>
      <c r="D143" s="9" t="s">
        <v>239</v>
      </c>
      <c r="E143" s="9" t="s">
        <v>653</v>
      </c>
      <c r="F143" s="9" t="s">
        <v>339</v>
      </c>
      <c r="G143" s="10" t="s">
        <v>78</v>
      </c>
      <c r="H143" s="10" t="s">
        <v>97</v>
      </c>
      <c r="I143" s="11" t="n">
        <v>1</v>
      </c>
      <c r="J143" s="9" t="s">
        <v>340</v>
      </c>
      <c r="K143" s="10" t="s">
        <v>367</v>
      </c>
      <c r="L143" s="10" t="s">
        <v>243</v>
      </c>
      <c r="M143" s="10" t="s">
        <v>241</v>
      </c>
      <c r="N143" s="15"/>
      <c r="O143" s="10"/>
    </row>
    <row r="144" customFormat="false" ht="29.85" hidden="false" customHeight="false" outlineLevel="0" collapsed="false">
      <c r="A144" s="9" t="s">
        <v>654</v>
      </c>
      <c r="B144" s="10" t="s">
        <v>337</v>
      </c>
      <c r="C144" s="9" t="s">
        <v>53</v>
      </c>
      <c r="D144" s="9" t="s">
        <v>244</v>
      </c>
      <c r="E144" s="9" t="s">
        <v>655</v>
      </c>
      <c r="F144" s="9" t="s">
        <v>339</v>
      </c>
      <c r="G144" s="10" t="s">
        <v>75</v>
      </c>
      <c r="H144" s="10" t="s">
        <v>97</v>
      </c>
      <c r="I144" s="11" t="n">
        <v>1</v>
      </c>
      <c r="J144" s="9" t="s">
        <v>340</v>
      </c>
      <c r="K144" s="10" t="s">
        <v>344</v>
      </c>
      <c r="L144" s="10" t="s">
        <v>248</v>
      </c>
      <c r="M144" s="10" t="s">
        <v>246</v>
      </c>
      <c r="N144" s="15"/>
      <c r="O144" s="10"/>
    </row>
    <row r="145" customFormat="false" ht="29.85" hidden="false" customHeight="false" outlineLevel="0" collapsed="false">
      <c r="A145" s="9" t="s">
        <v>656</v>
      </c>
      <c r="B145" s="10" t="s">
        <v>337</v>
      </c>
      <c r="C145" s="9" t="s">
        <v>53</v>
      </c>
      <c r="D145" s="9" t="s">
        <v>244</v>
      </c>
      <c r="E145" s="9" t="s">
        <v>657</v>
      </c>
      <c r="F145" s="9" t="s">
        <v>658</v>
      </c>
      <c r="G145" s="10" t="s">
        <v>77</v>
      </c>
      <c r="H145" s="10" t="s">
        <v>97</v>
      </c>
      <c r="I145" s="11" t="n">
        <v>3</v>
      </c>
      <c r="J145" s="9" t="s">
        <v>356</v>
      </c>
      <c r="K145" s="10" t="s">
        <v>341</v>
      </c>
      <c r="L145" s="10" t="s">
        <v>248</v>
      </c>
      <c r="M145" s="10" t="s">
        <v>246</v>
      </c>
      <c r="N145" s="15"/>
      <c r="O145" s="10"/>
    </row>
    <row r="146" customFormat="false" ht="15" hidden="false" customHeight="false" outlineLevel="0" collapsed="false">
      <c r="A146" s="9" t="s">
        <v>659</v>
      </c>
      <c r="B146" s="10" t="s">
        <v>350</v>
      </c>
      <c r="C146" s="9" t="s">
        <v>53</v>
      </c>
      <c r="D146" s="9" t="s">
        <v>244</v>
      </c>
      <c r="E146" s="9" t="s">
        <v>660</v>
      </c>
      <c r="F146" s="9" t="s">
        <v>339</v>
      </c>
      <c r="G146" s="10" t="s">
        <v>76</v>
      </c>
      <c r="H146" s="10" t="s">
        <v>97</v>
      </c>
      <c r="I146" s="11" t="n">
        <v>1</v>
      </c>
      <c r="J146" s="9" t="s">
        <v>340</v>
      </c>
      <c r="K146" s="10" t="s">
        <v>348</v>
      </c>
      <c r="L146" s="10" t="s">
        <v>248</v>
      </c>
      <c r="M146" s="10" t="s">
        <v>246</v>
      </c>
      <c r="N146" s="15"/>
      <c r="O146" s="10"/>
    </row>
    <row r="147" customFormat="false" ht="29.85" hidden="false" customHeight="false" outlineLevel="0" collapsed="false">
      <c r="A147" s="9" t="s">
        <v>661</v>
      </c>
      <c r="B147" s="10" t="s">
        <v>350</v>
      </c>
      <c r="C147" s="9" t="s">
        <v>53</v>
      </c>
      <c r="D147" s="9" t="s">
        <v>244</v>
      </c>
      <c r="E147" s="9" t="s">
        <v>662</v>
      </c>
      <c r="F147" s="9" t="s">
        <v>339</v>
      </c>
      <c r="G147" s="10" t="s">
        <v>77</v>
      </c>
      <c r="H147" s="10" t="s">
        <v>97</v>
      </c>
      <c r="I147" s="11" t="n">
        <v>1</v>
      </c>
      <c r="J147" s="9" t="s">
        <v>340</v>
      </c>
      <c r="K147" s="10" t="s">
        <v>341</v>
      </c>
      <c r="L147" s="10" t="s">
        <v>248</v>
      </c>
      <c r="M147" s="10" t="s">
        <v>246</v>
      </c>
      <c r="N147" s="15"/>
      <c r="O147" s="10"/>
    </row>
    <row r="148" customFormat="false" ht="29.85" hidden="false" customHeight="false" outlineLevel="0" collapsed="false">
      <c r="A148" s="9" t="s">
        <v>663</v>
      </c>
      <c r="B148" s="10" t="s">
        <v>350</v>
      </c>
      <c r="C148" s="9" t="s">
        <v>53</v>
      </c>
      <c r="D148" s="9" t="s">
        <v>244</v>
      </c>
      <c r="E148" s="9" t="s">
        <v>664</v>
      </c>
      <c r="F148" s="9" t="s">
        <v>339</v>
      </c>
      <c r="G148" s="10" t="s">
        <v>75</v>
      </c>
      <c r="H148" s="10" t="s">
        <v>97</v>
      </c>
      <c r="I148" s="11" t="n">
        <v>1</v>
      </c>
      <c r="J148" s="9" t="s">
        <v>340</v>
      </c>
      <c r="K148" s="10" t="s">
        <v>344</v>
      </c>
      <c r="L148" s="10" t="s">
        <v>248</v>
      </c>
      <c r="M148" s="10" t="s">
        <v>246</v>
      </c>
      <c r="N148" s="15"/>
      <c r="O148" s="10"/>
    </row>
    <row r="149" customFormat="false" ht="15" hidden="false" customHeight="false" outlineLevel="0" collapsed="false">
      <c r="A149" s="9" t="s">
        <v>665</v>
      </c>
      <c r="B149" s="10" t="s">
        <v>337</v>
      </c>
      <c r="C149" s="9" t="s">
        <v>53</v>
      </c>
      <c r="D149" s="9" t="s">
        <v>249</v>
      </c>
      <c r="E149" s="9" t="s">
        <v>666</v>
      </c>
      <c r="F149" s="9" t="s">
        <v>339</v>
      </c>
      <c r="G149" s="10" t="s">
        <v>76</v>
      </c>
      <c r="H149" s="10" t="s">
        <v>97</v>
      </c>
      <c r="I149" s="11" t="n">
        <v>1</v>
      </c>
      <c r="J149" s="9" t="s">
        <v>340</v>
      </c>
      <c r="K149" s="10" t="s">
        <v>348</v>
      </c>
      <c r="L149" s="10" t="s">
        <v>253</v>
      </c>
      <c r="M149" s="10" t="s">
        <v>251</v>
      </c>
      <c r="N149" s="15"/>
      <c r="O149" s="10"/>
    </row>
    <row r="150" customFormat="false" ht="15" hidden="false" customHeight="false" outlineLevel="0" collapsed="false">
      <c r="A150" s="9" t="s">
        <v>667</v>
      </c>
      <c r="B150" s="10" t="s">
        <v>337</v>
      </c>
      <c r="C150" s="9" t="s">
        <v>53</v>
      </c>
      <c r="D150" s="9" t="s">
        <v>249</v>
      </c>
      <c r="E150" s="9" t="s">
        <v>668</v>
      </c>
      <c r="F150" s="9" t="s">
        <v>339</v>
      </c>
      <c r="G150" s="10" t="s">
        <v>79</v>
      </c>
      <c r="H150" s="10" t="s">
        <v>97</v>
      </c>
      <c r="I150" s="11" t="n">
        <v>1</v>
      </c>
      <c r="J150" s="9" t="s">
        <v>340</v>
      </c>
      <c r="K150" s="10" t="s">
        <v>352</v>
      </c>
      <c r="L150" s="10" t="s">
        <v>253</v>
      </c>
      <c r="M150" s="10" t="s">
        <v>251</v>
      </c>
      <c r="N150" s="15"/>
      <c r="O150" s="10"/>
    </row>
    <row r="151" customFormat="false" ht="29.85" hidden="false" customHeight="false" outlineLevel="0" collapsed="false">
      <c r="A151" s="9" t="s">
        <v>669</v>
      </c>
      <c r="B151" s="10" t="s">
        <v>350</v>
      </c>
      <c r="C151" s="9" t="s">
        <v>53</v>
      </c>
      <c r="D151" s="9" t="s">
        <v>249</v>
      </c>
      <c r="E151" s="9" t="s">
        <v>670</v>
      </c>
      <c r="F151" s="9" t="s">
        <v>339</v>
      </c>
      <c r="G151" s="10" t="s">
        <v>77</v>
      </c>
      <c r="H151" s="10" t="s">
        <v>97</v>
      </c>
      <c r="I151" s="11" t="n">
        <v>1</v>
      </c>
      <c r="J151" s="9" t="s">
        <v>340</v>
      </c>
      <c r="K151" s="10" t="s">
        <v>341</v>
      </c>
      <c r="L151" s="10" t="s">
        <v>253</v>
      </c>
      <c r="M151" s="10" t="s">
        <v>251</v>
      </c>
      <c r="N151" s="15"/>
      <c r="O151" s="10"/>
    </row>
    <row r="152" customFormat="false" ht="15" hidden="false" customHeight="false" outlineLevel="0" collapsed="false">
      <c r="A152" s="9" t="s">
        <v>671</v>
      </c>
      <c r="B152" s="10" t="s">
        <v>350</v>
      </c>
      <c r="C152" s="9" t="s">
        <v>53</v>
      </c>
      <c r="D152" s="9" t="s">
        <v>249</v>
      </c>
      <c r="E152" s="9" t="s">
        <v>672</v>
      </c>
      <c r="F152" s="9" t="s">
        <v>339</v>
      </c>
      <c r="G152" s="10" t="s">
        <v>78</v>
      </c>
      <c r="H152" s="10" t="s">
        <v>97</v>
      </c>
      <c r="I152" s="11" t="n">
        <v>1</v>
      </c>
      <c r="J152" s="9" t="s">
        <v>340</v>
      </c>
      <c r="K152" s="10" t="s">
        <v>367</v>
      </c>
      <c r="L152" s="10" t="s">
        <v>253</v>
      </c>
      <c r="M152" s="10" t="s">
        <v>251</v>
      </c>
      <c r="N152" s="15"/>
      <c r="O152" s="10"/>
    </row>
    <row r="153" customFormat="false" ht="29.85" hidden="false" customHeight="false" outlineLevel="0" collapsed="false">
      <c r="A153" s="9" t="s">
        <v>673</v>
      </c>
      <c r="B153" s="10" t="s">
        <v>674</v>
      </c>
      <c r="C153" s="9" t="s">
        <v>53</v>
      </c>
      <c r="D153" s="9" t="s">
        <v>254</v>
      </c>
      <c r="E153" s="9" t="s">
        <v>675</v>
      </c>
      <c r="F153" s="9" t="s">
        <v>339</v>
      </c>
      <c r="G153" s="10" t="s">
        <v>75</v>
      </c>
      <c r="H153" s="10" t="s">
        <v>97</v>
      </c>
      <c r="I153" s="11" t="n">
        <v>1</v>
      </c>
      <c r="J153" s="9" t="s">
        <v>340</v>
      </c>
      <c r="K153" s="10" t="s">
        <v>344</v>
      </c>
      <c r="L153" s="10" t="s">
        <v>258</v>
      </c>
      <c r="M153" s="10" t="s">
        <v>256</v>
      </c>
      <c r="N153" s="15"/>
      <c r="O153" s="10"/>
    </row>
    <row r="154" customFormat="false" ht="29.85" hidden="false" customHeight="false" outlineLevel="0" collapsed="false">
      <c r="A154" s="9" t="s">
        <v>676</v>
      </c>
      <c r="B154" s="10" t="s">
        <v>674</v>
      </c>
      <c r="C154" s="9" t="s">
        <v>53</v>
      </c>
      <c r="D154" s="9" t="s">
        <v>254</v>
      </c>
      <c r="E154" s="9" t="s">
        <v>677</v>
      </c>
      <c r="F154" s="9" t="s">
        <v>678</v>
      </c>
      <c r="G154" s="10" t="s">
        <v>77</v>
      </c>
      <c r="H154" s="10" t="s">
        <v>97</v>
      </c>
      <c r="I154" s="11" t="n">
        <v>2</v>
      </c>
      <c r="J154" s="9" t="s">
        <v>340</v>
      </c>
      <c r="K154" s="10" t="s">
        <v>341</v>
      </c>
      <c r="L154" s="10" t="s">
        <v>258</v>
      </c>
      <c r="M154" s="10" t="s">
        <v>256</v>
      </c>
      <c r="N154" s="15"/>
      <c r="O154" s="10"/>
    </row>
    <row r="155" customFormat="false" ht="29.85" hidden="false" customHeight="false" outlineLevel="0" collapsed="false">
      <c r="A155" s="9" t="s">
        <v>679</v>
      </c>
      <c r="B155" s="10" t="s">
        <v>674</v>
      </c>
      <c r="C155" s="9" t="s">
        <v>53</v>
      </c>
      <c r="D155" s="9" t="s">
        <v>254</v>
      </c>
      <c r="E155" s="9" t="s">
        <v>680</v>
      </c>
      <c r="F155" s="9" t="s">
        <v>681</v>
      </c>
      <c r="G155" s="10" t="s">
        <v>77</v>
      </c>
      <c r="H155" s="10" t="s">
        <v>97</v>
      </c>
      <c r="I155" s="11" t="n">
        <v>2</v>
      </c>
      <c r="J155" s="9" t="s">
        <v>340</v>
      </c>
      <c r="K155" s="10" t="s">
        <v>341</v>
      </c>
      <c r="L155" s="10" t="s">
        <v>258</v>
      </c>
      <c r="M155" s="10" t="s">
        <v>256</v>
      </c>
      <c r="N155" s="15"/>
      <c r="O155" s="10"/>
    </row>
    <row r="156" customFormat="false" ht="29.85" hidden="false" customHeight="false" outlineLevel="0" collapsed="false">
      <c r="A156" s="9" t="s">
        <v>682</v>
      </c>
      <c r="B156" s="10" t="s">
        <v>350</v>
      </c>
      <c r="C156" s="9" t="s">
        <v>53</v>
      </c>
      <c r="D156" s="9" t="s">
        <v>254</v>
      </c>
      <c r="E156" s="9" t="s">
        <v>683</v>
      </c>
      <c r="F156" s="9" t="s">
        <v>681</v>
      </c>
      <c r="G156" s="10" t="s">
        <v>77</v>
      </c>
      <c r="H156" s="10" t="s">
        <v>97</v>
      </c>
      <c r="I156" s="11" t="n">
        <v>2</v>
      </c>
      <c r="J156" s="9" t="s">
        <v>340</v>
      </c>
      <c r="K156" s="10" t="s">
        <v>341</v>
      </c>
      <c r="L156" s="10" t="s">
        <v>258</v>
      </c>
      <c r="M156" s="10" t="s">
        <v>256</v>
      </c>
      <c r="N156" s="15"/>
      <c r="O156" s="10"/>
    </row>
    <row r="157" customFormat="false" ht="29.85" hidden="false" customHeight="false" outlineLevel="0" collapsed="false">
      <c r="A157" s="9" t="s">
        <v>684</v>
      </c>
      <c r="B157" s="10" t="s">
        <v>674</v>
      </c>
      <c r="C157" s="9" t="s">
        <v>53</v>
      </c>
      <c r="D157" s="9" t="s">
        <v>259</v>
      </c>
      <c r="E157" s="9" t="s">
        <v>685</v>
      </c>
      <c r="F157" s="9" t="s">
        <v>339</v>
      </c>
      <c r="G157" s="10" t="s">
        <v>77</v>
      </c>
      <c r="H157" s="10" t="s">
        <v>97</v>
      </c>
      <c r="I157" s="11" t="n">
        <v>1</v>
      </c>
      <c r="J157" s="9" t="s">
        <v>340</v>
      </c>
      <c r="K157" s="10" t="s">
        <v>341</v>
      </c>
      <c r="L157" s="10" t="s">
        <v>263</v>
      </c>
      <c r="M157" s="10" t="s">
        <v>261</v>
      </c>
      <c r="N157" s="15"/>
      <c r="O157" s="10"/>
    </row>
    <row r="158" customFormat="false" ht="15" hidden="false" customHeight="false" outlineLevel="0" collapsed="false">
      <c r="A158" s="9" t="s">
        <v>686</v>
      </c>
      <c r="B158" s="10" t="s">
        <v>674</v>
      </c>
      <c r="C158" s="9" t="s">
        <v>53</v>
      </c>
      <c r="D158" s="9" t="s">
        <v>259</v>
      </c>
      <c r="E158" s="9" t="s">
        <v>687</v>
      </c>
      <c r="F158" s="9" t="s">
        <v>688</v>
      </c>
      <c r="G158" s="10" t="s">
        <v>79</v>
      </c>
      <c r="H158" s="10" t="s">
        <v>97</v>
      </c>
      <c r="I158" s="11" t="n">
        <v>3</v>
      </c>
      <c r="J158" s="9" t="s">
        <v>340</v>
      </c>
      <c r="K158" s="10" t="s">
        <v>352</v>
      </c>
      <c r="L158" s="10" t="s">
        <v>263</v>
      </c>
      <c r="M158" s="10" t="s">
        <v>261</v>
      </c>
      <c r="N158" s="15"/>
      <c r="O158" s="10"/>
    </row>
    <row r="159" customFormat="false" ht="29.85" hidden="false" customHeight="false" outlineLevel="0" collapsed="false">
      <c r="A159" s="9" t="s">
        <v>689</v>
      </c>
      <c r="B159" s="10" t="s">
        <v>337</v>
      </c>
      <c r="C159" s="9" t="s">
        <v>53</v>
      </c>
      <c r="D159" s="9" t="s">
        <v>259</v>
      </c>
      <c r="E159" s="9" t="s">
        <v>690</v>
      </c>
      <c r="F159" s="9" t="s">
        <v>339</v>
      </c>
      <c r="G159" s="10" t="s">
        <v>77</v>
      </c>
      <c r="H159" s="10" t="s">
        <v>97</v>
      </c>
      <c r="I159" s="11" t="n">
        <v>1</v>
      </c>
      <c r="J159" s="9" t="s">
        <v>340</v>
      </c>
      <c r="K159" s="10" t="s">
        <v>341</v>
      </c>
      <c r="L159" s="10" t="s">
        <v>263</v>
      </c>
      <c r="M159" s="10" t="s">
        <v>261</v>
      </c>
      <c r="N159" s="15"/>
      <c r="O159" s="10"/>
    </row>
    <row r="160" customFormat="false" ht="15" hidden="false" customHeight="false" outlineLevel="0" collapsed="false">
      <c r="A160" s="9" t="s">
        <v>691</v>
      </c>
      <c r="B160" s="10" t="s">
        <v>350</v>
      </c>
      <c r="C160" s="9" t="s">
        <v>53</v>
      </c>
      <c r="D160" s="9" t="s">
        <v>259</v>
      </c>
      <c r="E160" s="9" t="s">
        <v>692</v>
      </c>
      <c r="F160" s="9" t="s">
        <v>339</v>
      </c>
      <c r="G160" s="10" t="s">
        <v>79</v>
      </c>
      <c r="H160" s="10" t="s">
        <v>97</v>
      </c>
      <c r="I160" s="11" t="n">
        <v>1</v>
      </c>
      <c r="J160" s="9" t="s">
        <v>340</v>
      </c>
      <c r="K160" s="10" t="s">
        <v>352</v>
      </c>
      <c r="L160" s="10" t="s">
        <v>263</v>
      </c>
      <c r="M160" s="10" t="s">
        <v>261</v>
      </c>
      <c r="N160" s="15"/>
      <c r="O160" s="10"/>
    </row>
    <row r="161" customFormat="false" ht="15" hidden="false" customHeight="false" outlineLevel="0" collapsed="false">
      <c r="A161" s="9" t="s">
        <v>693</v>
      </c>
      <c r="B161" s="10" t="s">
        <v>350</v>
      </c>
      <c r="C161" s="9" t="s">
        <v>53</v>
      </c>
      <c r="D161" s="9" t="s">
        <v>259</v>
      </c>
      <c r="E161" s="9" t="s">
        <v>694</v>
      </c>
      <c r="F161" s="9" t="s">
        <v>339</v>
      </c>
      <c r="G161" s="10" t="s">
        <v>76</v>
      </c>
      <c r="H161" s="10" t="s">
        <v>97</v>
      </c>
      <c r="I161" s="11" t="n">
        <v>1</v>
      </c>
      <c r="J161" s="9" t="s">
        <v>340</v>
      </c>
      <c r="K161" s="10" t="s">
        <v>348</v>
      </c>
      <c r="L161" s="10" t="s">
        <v>263</v>
      </c>
      <c r="M161" s="10" t="s">
        <v>261</v>
      </c>
      <c r="N161" s="15"/>
      <c r="O161" s="10"/>
    </row>
    <row r="162" customFormat="false" ht="29.85" hidden="false" customHeight="false" outlineLevel="0" collapsed="false">
      <c r="A162" s="9" t="s">
        <v>695</v>
      </c>
      <c r="B162" s="10" t="s">
        <v>337</v>
      </c>
      <c r="C162" s="9" t="s">
        <v>55</v>
      </c>
      <c r="D162" s="9" t="s">
        <v>264</v>
      </c>
      <c r="E162" s="9" t="s">
        <v>696</v>
      </c>
      <c r="F162" s="9" t="s">
        <v>339</v>
      </c>
      <c r="G162" s="10" t="s">
        <v>77</v>
      </c>
      <c r="H162" s="10" t="s">
        <v>91</v>
      </c>
      <c r="I162" s="11" t="n">
        <v>1</v>
      </c>
      <c r="J162" s="9" t="s">
        <v>340</v>
      </c>
      <c r="K162" s="10" t="s">
        <v>341</v>
      </c>
      <c r="L162" s="10" t="s">
        <v>268</v>
      </c>
      <c r="M162" s="10" t="s">
        <v>266</v>
      </c>
      <c r="N162" s="15"/>
      <c r="O162" s="10"/>
    </row>
    <row r="163" customFormat="false" ht="29.85" hidden="false" customHeight="false" outlineLevel="0" collapsed="false">
      <c r="A163" s="9" t="s">
        <v>697</v>
      </c>
      <c r="B163" s="10" t="s">
        <v>337</v>
      </c>
      <c r="C163" s="9" t="s">
        <v>55</v>
      </c>
      <c r="D163" s="9" t="s">
        <v>264</v>
      </c>
      <c r="E163" s="9" t="s">
        <v>698</v>
      </c>
      <c r="F163" s="9" t="s">
        <v>339</v>
      </c>
      <c r="G163" s="10" t="s">
        <v>75</v>
      </c>
      <c r="H163" s="10" t="s">
        <v>91</v>
      </c>
      <c r="I163" s="11" t="n">
        <v>1</v>
      </c>
      <c r="J163" s="9" t="s">
        <v>340</v>
      </c>
      <c r="K163" s="10" t="s">
        <v>344</v>
      </c>
      <c r="L163" s="10" t="s">
        <v>268</v>
      </c>
      <c r="M163" s="10" t="s">
        <v>266</v>
      </c>
      <c r="N163" s="15"/>
      <c r="O163" s="10"/>
    </row>
    <row r="164" customFormat="false" ht="15" hidden="false" customHeight="false" outlineLevel="0" collapsed="false">
      <c r="A164" s="9" t="s">
        <v>699</v>
      </c>
      <c r="B164" s="10" t="s">
        <v>350</v>
      </c>
      <c r="C164" s="9" t="s">
        <v>55</v>
      </c>
      <c r="D164" s="9" t="s">
        <v>264</v>
      </c>
      <c r="E164" s="9" t="s">
        <v>700</v>
      </c>
      <c r="F164" s="9" t="s">
        <v>339</v>
      </c>
      <c r="G164" s="10" t="s">
        <v>78</v>
      </c>
      <c r="H164" s="10" t="s">
        <v>91</v>
      </c>
      <c r="I164" s="11" t="n">
        <v>1</v>
      </c>
      <c r="J164" s="9" t="s">
        <v>340</v>
      </c>
      <c r="K164" s="10" t="s">
        <v>367</v>
      </c>
      <c r="L164" s="10" t="s">
        <v>268</v>
      </c>
      <c r="M164" s="10" t="s">
        <v>266</v>
      </c>
      <c r="N164" s="15"/>
      <c r="O164" s="10"/>
    </row>
    <row r="165" customFormat="false" ht="15" hidden="false" customHeight="false" outlineLevel="0" collapsed="false">
      <c r="A165" s="9" t="s">
        <v>701</v>
      </c>
      <c r="B165" s="10" t="s">
        <v>350</v>
      </c>
      <c r="C165" s="9" t="s">
        <v>55</v>
      </c>
      <c r="D165" s="9" t="s">
        <v>264</v>
      </c>
      <c r="E165" s="9" t="s">
        <v>702</v>
      </c>
      <c r="F165" s="9" t="s">
        <v>339</v>
      </c>
      <c r="G165" s="10" t="s">
        <v>76</v>
      </c>
      <c r="H165" s="10" t="s">
        <v>91</v>
      </c>
      <c r="I165" s="11" t="n">
        <v>1</v>
      </c>
      <c r="J165" s="9" t="s">
        <v>340</v>
      </c>
      <c r="K165" s="10" t="s">
        <v>348</v>
      </c>
      <c r="L165" s="10" t="s">
        <v>268</v>
      </c>
      <c r="M165" s="10" t="s">
        <v>266</v>
      </c>
      <c r="N165" s="15"/>
      <c r="O165" s="10"/>
    </row>
    <row r="166" customFormat="false" ht="29.85" hidden="false" customHeight="false" outlineLevel="0" collapsed="false">
      <c r="A166" s="9" t="s">
        <v>703</v>
      </c>
      <c r="B166" s="10" t="s">
        <v>337</v>
      </c>
      <c r="C166" s="9" t="s">
        <v>55</v>
      </c>
      <c r="D166" s="9" t="s">
        <v>269</v>
      </c>
      <c r="E166" s="9" t="s">
        <v>704</v>
      </c>
      <c r="F166" s="9" t="s">
        <v>339</v>
      </c>
      <c r="G166" s="10" t="s">
        <v>75</v>
      </c>
      <c r="H166" s="10" t="s">
        <v>91</v>
      </c>
      <c r="I166" s="11" t="n">
        <v>1</v>
      </c>
      <c r="J166" s="9" t="s">
        <v>340</v>
      </c>
      <c r="K166" s="10" t="s">
        <v>344</v>
      </c>
      <c r="L166" s="10" t="s">
        <v>243</v>
      </c>
      <c r="M166" s="10" t="s">
        <v>271</v>
      </c>
      <c r="N166" s="15"/>
      <c r="O166" s="10"/>
    </row>
    <row r="167" customFormat="false" ht="29.85" hidden="false" customHeight="false" outlineLevel="0" collapsed="false">
      <c r="A167" s="9" t="s">
        <v>705</v>
      </c>
      <c r="B167" s="10" t="s">
        <v>337</v>
      </c>
      <c r="C167" s="9" t="s">
        <v>55</v>
      </c>
      <c r="D167" s="9" t="s">
        <v>269</v>
      </c>
      <c r="E167" s="9" t="s">
        <v>706</v>
      </c>
      <c r="F167" s="9" t="s">
        <v>339</v>
      </c>
      <c r="G167" s="10" t="s">
        <v>77</v>
      </c>
      <c r="H167" s="10" t="s">
        <v>91</v>
      </c>
      <c r="I167" s="11" t="n">
        <v>1</v>
      </c>
      <c r="J167" s="9" t="s">
        <v>340</v>
      </c>
      <c r="K167" s="10" t="s">
        <v>341</v>
      </c>
      <c r="L167" s="10" t="s">
        <v>243</v>
      </c>
      <c r="M167" s="10" t="s">
        <v>271</v>
      </c>
      <c r="N167" s="15"/>
      <c r="O167" s="10"/>
    </row>
    <row r="168" customFormat="false" ht="15" hidden="false" customHeight="false" outlineLevel="0" collapsed="false">
      <c r="A168" s="9" t="s">
        <v>707</v>
      </c>
      <c r="B168" s="10" t="s">
        <v>350</v>
      </c>
      <c r="C168" s="9" t="s">
        <v>55</v>
      </c>
      <c r="D168" s="9" t="s">
        <v>269</v>
      </c>
      <c r="E168" s="9" t="s">
        <v>708</v>
      </c>
      <c r="F168" s="9" t="s">
        <v>339</v>
      </c>
      <c r="G168" s="10" t="s">
        <v>76</v>
      </c>
      <c r="H168" s="10" t="s">
        <v>91</v>
      </c>
      <c r="I168" s="11" t="n">
        <v>1</v>
      </c>
      <c r="J168" s="9" t="s">
        <v>340</v>
      </c>
      <c r="K168" s="10" t="s">
        <v>348</v>
      </c>
      <c r="L168" s="10" t="s">
        <v>243</v>
      </c>
      <c r="M168" s="10" t="s">
        <v>271</v>
      </c>
      <c r="N168" s="15"/>
      <c r="O168" s="10"/>
    </row>
    <row r="169" customFormat="false" ht="15" hidden="false" customHeight="false" outlineLevel="0" collapsed="false">
      <c r="A169" s="9" t="s">
        <v>709</v>
      </c>
      <c r="B169" s="10" t="s">
        <v>350</v>
      </c>
      <c r="C169" s="9" t="s">
        <v>55</v>
      </c>
      <c r="D169" s="9" t="s">
        <v>269</v>
      </c>
      <c r="E169" s="9" t="s">
        <v>710</v>
      </c>
      <c r="F169" s="9" t="s">
        <v>339</v>
      </c>
      <c r="G169" s="10" t="s">
        <v>78</v>
      </c>
      <c r="H169" s="10" t="s">
        <v>97</v>
      </c>
      <c r="I169" s="11" t="n">
        <v>1</v>
      </c>
      <c r="J169" s="9" t="s">
        <v>340</v>
      </c>
      <c r="K169" s="10" t="s">
        <v>367</v>
      </c>
      <c r="L169" s="10" t="s">
        <v>243</v>
      </c>
      <c r="M169" s="10" t="s">
        <v>271</v>
      </c>
      <c r="N169" s="15"/>
      <c r="O169" s="10"/>
    </row>
    <row r="170" customFormat="false" ht="29.85" hidden="false" customHeight="false" outlineLevel="0" collapsed="false">
      <c r="A170" s="9" t="s">
        <v>711</v>
      </c>
      <c r="B170" s="10" t="s">
        <v>337</v>
      </c>
      <c r="C170" s="9" t="s">
        <v>55</v>
      </c>
      <c r="D170" s="9" t="s">
        <v>273</v>
      </c>
      <c r="E170" s="9" t="s">
        <v>712</v>
      </c>
      <c r="F170" s="9" t="s">
        <v>339</v>
      </c>
      <c r="G170" s="10" t="s">
        <v>77</v>
      </c>
      <c r="H170" s="10" t="s">
        <v>131</v>
      </c>
      <c r="I170" s="11" t="n">
        <v>1</v>
      </c>
      <c r="J170" s="9" t="s">
        <v>340</v>
      </c>
      <c r="K170" s="10" t="s">
        <v>341</v>
      </c>
      <c r="L170" s="10" t="s">
        <v>277</v>
      </c>
      <c r="M170" s="10" t="s">
        <v>275</v>
      </c>
      <c r="N170" s="15"/>
      <c r="O170" s="10"/>
    </row>
    <row r="171" customFormat="false" ht="29.85" hidden="false" customHeight="false" outlineLevel="0" collapsed="false">
      <c r="A171" s="9" t="s">
        <v>713</v>
      </c>
      <c r="B171" s="10" t="s">
        <v>337</v>
      </c>
      <c r="C171" s="9" t="s">
        <v>55</v>
      </c>
      <c r="D171" s="9" t="s">
        <v>273</v>
      </c>
      <c r="E171" s="9" t="s">
        <v>714</v>
      </c>
      <c r="F171" s="9" t="s">
        <v>339</v>
      </c>
      <c r="G171" s="10" t="s">
        <v>75</v>
      </c>
      <c r="H171" s="10" t="s">
        <v>131</v>
      </c>
      <c r="I171" s="11" t="n">
        <v>1</v>
      </c>
      <c r="J171" s="9" t="s">
        <v>340</v>
      </c>
      <c r="K171" s="10" t="s">
        <v>344</v>
      </c>
      <c r="L171" s="10" t="s">
        <v>277</v>
      </c>
      <c r="M171" s="10" t="s">
        <v>275</v>
      </c>
      <c r="N171" s="15"/>
      <c r="O171" s="10"/>
    </row>
    <row r="172" customFormat="false" ht="15" hidden="false" customHeight="false" outlineLevel="0" collapsed="false">
      <c r="A172" s="9" t="s">
        <v>715</v>
      </c>
      <c r="B172" s="10" t="s">
        <v>350</v>
      </c>
      <c r="C172" s="9" t="s">
        <v>55</v>
      </c>
      <c r="D172" s="9" t="s">
        <v>273</v>
      </c>
      <c r="E172" s="9" t="s">
        <v>716</v>
      </c>
      <c r="F172" s="9" t="s">
        <v>339</v>
      </c>
      <c r="G172" s="10" t="s">
        <v>78</v>
      </c>
      <c r="H172" s="10" t="s">
        <v>131</v>
      </c>
      <c r="I172" s="11" t="n">
        <v>1</v>
      </c>
      <c r="J172" s="9" t="s">
        <v>340</v>
      </c>
      <c r="K172" s="10" t="s">
        <v>367</v>
      </c>
      <c r="L172" s="10" t="s">
        <v>277</v>
      </c>
      <c r="M172" s="10" t="s">
        <v>275</v>
      </c>
      <c r="N172" s="15"/>
      <c r="O172" s="10"/>
    </row>
    <row r="173" customFormat="false" ht="29.85" hidden="false" customHeight="false" outlineLevel="0" collapsed="false">
      <c r="A173" s="9" t="s">
        <v>717</v>
      </c>
      <c r="B173" s="10" t="s">
        <v>350</v>
      </c>
      <c r="C173" s="9" t="s">
        <v>55</v>
      </c>
      <c r="D173" s="9" t="s">
        <v>273</v>
      </c>
      <c r="E173" s="9" t="s">
        <v>718</v>
      </c>
      <c r="F173" s="9" t="s">
        <v>339</v>
      </c>
      <c r="G173" s="10" t="s">
        <v>77</v>
      </c>
      <c r="H173" s="10" t="s">
        <v>131</v>
      </c>
      <c r="I173" s="11" t="n">
        <v>1</v>
      </c>
      <c r="J173" s="9" t="s">
        <v>340</v>
      </c>
      <c r="K173" s="10" t="s">
        <v>341</v>
      </c>
      <c r="L173" s="10" t="s">
        <v>277</v>
      </c>
      <c r="M173" s="10" t="s">
        <v>275</v>
      </c>
      <c r="N173" s="15"/>
      <c r="O173" s="10"/>
    </row>
    <row r="174" customFormat="false" ht="29.85" hidden="false" customHeight="false" outlineLevel="0" collapsed="false">
      <c r="A174" s="9" t="s">
        <v>719</v>
      </c>
      <c r="B174" s="10" t="s">
        <v>337</v>
      </c>
      <c r="C174" s="9" t="s">
        <v>55</v>
      </c>
      <c r="D174" s="9" t="s">
        <v>278</v>
      </c>
      <c r="E174" s="9" t="s">
        <v>720</v>
      </c>
      <c r="F174" s="9" t="s">
        <v>339</v>
      </c>
      <c r="G174" s="10" t="s">
        <v>77</v>
      </c>
      <c r="H174" s="10" t="s">
        <v>131</v>
      </c>
      <c r="I174" s="11" t="n">
        <v>1</v>
      </c>
      <c r="J174" s="9" t="s">
        <v>340</v>
      </c>
      <c r="K174" s="10" t="s">
        <v>341</v>
      </c>
      <c r="L174" s="10" t="s">
        <v>282</v>
      </c>
      <c r="M174" s="10" t="s">
        <v>280</v>
      </c>
      <c r="N174" s="15"/>
      <c r="O174" s="10"/>
    </row>
    <row r="175" customFormat="false" ht="15" hidden="false" customHeight="false" outlineLevel="0" collapsed="false">
      <c r="A175" s="9" t="s">
        <v>721</v>
      </c>
      <c r="B175" s="10" t="s">
        <v>337</v>
      </c>
      <c r="C175" s="9" t="s">
        <v>55</v>
      </c>
      <c r="D175" s="9" t="s">
        <v>278</v>
      </c>
      <c r="E175" s="9" t="s">
        <v>722</v>
      </c>
      <c r="F175" s="9" t="s">
        <v>339</v>
      </c>
      <c r="G175" s="10" t="s">
        <v>76</v>
      </c>
      <c r="H175" s="10" t="s">
        <v>131</v>
      </c>
      <c r="I175" s="11" t="n">
        <v>1</v>
      </c>
      <c r="J175" s="9" t="s">
        <v>340</v>
      </c>
      <c r="K175" s="10" t="s">
        <v>348</v>
      </c>
      <c r="L175" s="10" t="s">
        <v>282</v>
      </c>
      <c r="M175" s="10" t="s">
        <v>280</v>
      </c>
      <c r="N175" s="15"/>
      <c r="O175" s="10"/>
    </row>
    <row r="176" customFormat="false" ht="29.85" hidden="false" customHeight="false" outlineLevel="0" collapsed="false">
      <c r="A176" s="9" t="s">
        <v>723</v>
      </c>
      <c r="B176" s="10" t="s">
        <v>350</v>
      </c>
      <c r="C176" s="9" t="s">
        <v>55</v>
      </c>
      <c r="D176" s="9" t="s">
        <v>278</v>
      </c>
      <c r="E176" s="9" t="s">
        <v>724</v>
      </c>
      <c r="F176" s="9" t="s">
        <v>339</v>
      </c>
      <c r="G176" s="10" t="s">
        <v>75</v>
      </c>
      <c r="H176" s="10" t="s">
        <v>131</v>
      </c>
      <c r="I176" s="11" t="n">
        <v>1</v>
      </c>
      <c r="J176" s="9" t="s">
        <v>340</v>
      </c>
      <c r="K176" s="10" t="s">
        <v>344</v>
      </c>
      <c r="L176" s="10" t="s">
        <v>282</v>
      </c>
      <c r="M176" s="10" t="s">
        <v>280</v>
      </c>
      <c r="N176" s="15"/>
      <c r="O176" s="10"/>
    </row>
    <row r="177" customFormat="false" ht="15" hidden="false" customHeight="false" outlineLevel="0" collapsed="false">
      <c r="A177" s="9" t="s">
        <v>725</v>
      </c>
      <c r="B177" s="10" t="s">
        <v>350</v>
      </c>
      <c r="C177" s="9" t="s">
        <v>55</v>
      </c>
      <c r="D177" s="9" t="s">
        <v>278</v>
      </c>
      <c r="E177" s="9" t="s">
        <v>726</v>
      </c>
      <c r="F177" s="9" t="s">
        <v>339</v>
      </c>
      <c r="G177" s="10" t="s">
        <v>79</v>
      </c>
      <c r="H177" s="10" t="s">
        <v>131</v>
      </c>
      <c r="I177" s="11" t="n">
        <v>1</v>
      </c>
      <c r="J177" s="9" t="s">
        <v>340</v>
      </c>
      <c r="K177" s="10" t="s">
        <v>352</v>
      </c>
      <c r="L177" s="10" t="s">
        <v>282</v>
      </c>
      <c r="M177" s="10" t="s">
        <v>280</v>
      </c>
      <c r="N177" s="15"/>
      <c r="O177" s="10"/>
    </row>
    <row r="178" customFormat="false" ht="29.85" hidden="false" customHeight="false" outlineLevel="0" collapsed="false">
      <c r="A178" s="9" t="s">
        <v>727</v>
      </c>
      <c r="B178" s="10" t="s">
        <v>350</v>
      </c>
      <c r="C178" s="9" t="s">
        <v>55</v>
      </c>
      <c r="D178" s="9" t="s">
        <v>278</v>
      </c>
      <c r="E178" s="9" t="s">
        <v>728</v>
      </c>
      <c r="F178" s="9" t="s">
        <v>339</v>
      </c>
      <c r="G178" s="10" t="s">
        <v>75</v>
      </c>
      <c r="H178" s="10" t="s">
        <v>91</v>
      </c>
      <c r="I178" s="11" t="n">
        <v>1</v>
      </c>
      <c r="J178" s="9" t="s">
        <v>340</v>
      </c>
      <c r="K178" s="10" t="s">
        <v>344</v>
      </c>
      <c r="L178" s="10" t="s">
        <v>282</v>
      </c>
      <c r="M178" s="10" t="s">
        <v>280</v>
      </c>
      <c r="N178" s="15"/>
      <c r="O178" s="10"/>
    </row>
    <row r="179" customFormat="false" ht="29.85" hidden="false" customHeight="false" outlineLevel="0" collapsed="false">
      <c r="A179" s="9" t="s">
        <v>729</v>
      </c>
      <c r="B179" s="10" t="s">
        <v>337</v>
      </c>
      <c r="C179" s="9" t="s">
        <v>57</v>
      </c>
      <c r="D179" s="9" t="s">
        <v>283</v>
      </c>
      <c r="E179" s="9" t="s">
        <v>730</v>
      </c>
      <c r="F179" s="9" t="s">
        <v>339</v>
      </c>
      <c r="G179" s="10" t="s">
        <v>75</v>
      </c>
      <c r="H179" s="10" t="s">
        <v>91</v>
      </c>
      <c r="I179" s="11" t="n">
        <v>1</v>
      </c>
      <c r="J179" s="9" t="s">
        <v>340</v>
      </c>
      <c r="K179" s="10" t="s">
        <v>344</v>
      </c>
      <c r="L179" s="10" t="s">
        <v>287</v>
      </c>
      <c r="M179" s="10" t="s">
        <v>285</v>
      </c>
      <c r="N179" s="15"/>
      <c r="O179" s="10"/>
    </row>
    <row r="180" customFormat="false" ht="29.85" hidden="false" customHeight="false" outlineLevel="0" collapsed="false">
      <c r="A180" s="9" t="s">
        <v>731</v>
      </c>
      <c r="B180" s="10" t="s">
        <v>337</v>
      </c>
      <c r="C180" s="9" t="s">
        <v>57</v>
      </c>
      <c r="D180" s="9" t="s">
        <v>283</v>
      </c>
      <c r="E180" s="9" t="s">
        <v>732</v>
      </c>
      <c r="F180" s="9" t="s">
        <v>339</v>
      </c>
      <c r="G180" s="10" t="s">
        <v>77</v>
      </c>
      <c r="H180" s="10" t="s">
        <v>91</v>
      </c>
      <c r="I180" s="11" t="n">
        <v>1</v>
      </c>
      <c r="J180" s="9" t="s">
        <v>340</v>
      </c>
      <c r="K180" s="10" t="s">
        <v>341</v>
      </c>
      <c r="L180" s="10" t="s">
        <v>287</v>
      </c>
      <c r="M180" s="10" t="s">
        <v>285</v>
      </c>
      <c r="N180" s="15"/>
      <c r="O180" s="10"/>
    </row>
    <row r="181" customFormat="false" ht="29.85" hidden="false" customHeight="false" outlineLevel="0" collapsed="false">
      <c r="A181" s="9" t="s">
        <v>733</v>
      </c>
      <c r="B181" s="10" t="s">
        <v>350</v>
      </c>
      <c r="C181" s="9" t="s">
        <v>57</v>
      </c>
      <c r="D181" s="9" t="s">
        <v>283</v>
      </c>
      <c r="E181" s="9" t="s">
        <v>734</v>
      </c>
      <c r="F181" s="9" t="s">
        <v>735</v>
      </c>
      <c r="G181" s="10" t="s">
        <v>79</v>
      </c>
      <c r="H181" s="10" t="s">
        <v>91</v>
      </c>
      <c r="I181" s="11" t="n">
        <v>4</v>
      </c>
      <c r="J181" s="9" t="s">
        <v>340</v>
      </c>
      <c r="K181" s="10" t="s">
        <v>352</v>
      </c>
      <c r="L181" s="10" t="s">
        <v>287</v>
      </c>
      <c r="M181" s="10" t="s">
        <v>285</v>
      </c>
      <c r="N181" s="15"/>
      <c r="O181" s="10"/>
    </row>
    <row r="182" customFormat="false" ht="15" hidden="false" customHeight="false" outlineLevel="0" collapsed="false">
      <c r="A182" s="9" t="s">
        <v>736</v>
      </c>
      <c r="B182" s="10" t="s">
        <v>350</v>
      </c>
      <c r="C182" s="9" t="s">
        <v>57</v>
      </c>
      <c r="D182" s="9" t="s">
        <v>283</v>
      </c>
      <c r="E182" s="9" t="s">
        <v>737</v>
      </c>
      <c r="F182" s="9" t="s">
        <v>339</v>
      </c>
      <c r="G182" s="10" t="s">
        <v>78</v>
      </c>
      <c r="H182" s="10" t="s">
        <v>91</v>
      </c>
      <c r="I182" s="11" t="n">
        <v>1</v>
      </c>
      <c r="J182" s="9" t="s">
        <v>340</v>
      </c>
      <c r="K182" s="10" t="s">
        <v>367</v>
      </c>
      <c r="L182" s="10" t="s">
        <v>287</v>
      </c>
      <c r="M182" s="10" t="s">
        <v>285</v>
      </c>
      <c r="N182" s="15"/>
      <c r="O182" s="10"/>
    </row>
    <row r="183" customFormat="false" ht="29.85" hidden="false" customHeight="false" outlineLevel="0" collapsed="false">
      <c r="A183" s="9" t="s">
        <v>738</v>
      </c>
      <c r="B183" s="10" t="s">
        <v>337</v>
      </c>
      <c r="C183" s="9" t="s">
        <v>57</v>
      </c>
      <c r="D183" s="9" t="s">
        <v>288</v>
      </c>
      <c r="E183" s="9" t="s">
        <v>739</v>
      </c>
      <c r="F183" s="9" t="s">
        <v>339</v>
      </c>
      <c r="G183" s="10" t="s">
        <v>77</v>
      </c>
      <c r="H183" s="10" t="s">
        <v>91</v>
      </c>
      <c r="I183" s="11" t="n">
        <v>1</v>
      </c>
      <c r="J183" s="9" t="s">
        <v>340</v>
      </c>
      <c r="K183" s="10" t="s">
        <v>341</v>
      </c>
      <c r="L183" s="10" t="s">
        <v>292</v>
      </c>
      <c r="M183" s="10" t="s">
        <v>290</v>
      </c>
      <c r="N183" s="15"/>
      <c r="O183" s="10"/>
    </row>
    <row r="184" customFormat="false" ht="29.85" hidden="false" customHeight="false" outlineLevel="0" collapsed="false">
      <c r="A184" s="9" t="s">
        <v>740</v>
      </c>
      <c r="B184" s="10" t="s">
        <v>337</v>
      </c>
      <c r="C184" s="9" t="s">
        <v>57</v>
      </c>
      <c r="D184" s="9" t="s">
        <v>288</v>
      </c>
      <c r="E184" s="9" t="s">
        <v>741</v>
      </c>
      <c r="F184" s="9" t="s">
        <v>339</v>
      </c>
      <c r="G184" s="10" t="s">
        <v>77</v>
      </c>
      <c r="H184" s="10" t="s">
        <v>91</v>
      </c>
      <c r="I184" s="11" t="n">
        <v>1</v>
      </c>
      <c r="J184" s="9" t="s">
        <v>340</v>
      </c>
      <c r="K184" s="10" t="s">
        <v>341</v>
      </c>
      <c r="L184" s="10" t="s">
        <v>292</v>
      </c>
      <c r="M184" s="10" t="s">
        <v>290</v>
      </c>
      <c r="N184" s="15"/>
      <c r="O184" s="10"/>
    </row>
    <row r="185" customFormat="false" ht="15" hidden="false" customHeight="false" outlineLevel="0" collapsed="false">
      <c r="A185" s="9" t="s">
        <v>742</v>
      </c>
      <c r="B185" s="10" t="s">
        <v>350</v>
      </c>
      <c r="C185" s="9" t="s">
        <v>57</v>
      </c>
      <c r="D185" s="9" t="s">
        <v>288</v>
      </c>
      <c r="E185" s="9" t="s">
        <v>743</v>
      </c>
      <c r="F185" s="9" t="s">
        <v>339</v>
      </c>
      <c r="G185" s="10" t="s">
        <v>78</v>
      </c>
      <c r="H185" s="10" t="s">
        <v>91</v>
      </c>
      <c r="I185" s="11" t="n">
        <v>1</v>
      </c>
      <c r="J185" s="9" t="s">
        <v>340</v>
      </c>
      <c r="K185" s="10" t="s">
        <v>367</v>
      </c>
      <c r="L185" s="10" t="s">
        <v>292</v>
      </c>
      <c r="M185" s="10" t="s">
        <v>290</v>
      </c>
      <c r="N185" s="15"/>
      <c r="O185" s="10"/>
    </row>
    <row r="186" customFormat="false" ht="15" hidden="false" customHeight="false" outlineLevel="0" collapsed="false">
      <c r="A186" s="9" t="s">
        <v>744</v>
      </c>
      <c r="B186" s="10" t="s">
        <v>350</v>
      </c>
      <c r="C186" s="9" t="s">
        <v>57</v>
      </c>
      <c r="D186" s="9" t="s">
        <v>288</v>
      </c>
      <c r="E186" s="9" t="s">
        <v>745</v>
      </c>
      <c r="F186" s="9" t="s">
        <v>339</v>
      </c>
      <c r="G186" s="10" t="s">
        <v>76</v>
      </c>
      <c r="H186" s="10" t="s">
        <v>91</v>
      </c>
      <c r="I186" s="11" t="n">
        <v>1</v>
      </c>
      <c r="J186" s="9" t="s">
        <v>340</v>
      </c>
      <c r="K186" s="10" t="s">
        <v>348</v>
      </c>
      <c r="L186" s="10" t="s">
        <v>292</v>
      </c>
      <c r="M186" s="10" t="s">
        <v>290</v>
      </c>
      <c r="N186" s="15"/>
      <c r="O186" s="10"/>
    </row>
    <row r="187" customFormat="false" ht="29.85" hidden="false" customHeight="false" outlineLevel="0" collapsed="false">
      <c r="A187" s="9" t="s">
        <v>746</v>
      </c>
      <c r="B187" s="10" t="s">
        <v>674</v>
      </c>
      <c r="C187" s="9" t="s">
        <v>57</v>
      </c>
      <c r="D187" s="9" t="s">
        <v>293</v>
      </c>
      <c r="E187" s="9" t="s">
        <v>747</v>
      </c>
      <c r="F187" s="9" t="s">
        <v>748</v>
      </c>
      <c r="G187" s="10" t="s">
        <v>77</v>
      </c>
      <c r="H187" s="10" t="s">
        <v>97</v>
      </c>
      <c r="I187" s="11" t="n">
        <v>2</v>
      </c>
      <c r="J187" s="9" t="s">
        <v>340</v>
      </c>
      <c r="K187" s="10" t="s">
        <v>341</v>
      </c>
      <c r="L187" s="10" t="s">
        <v>297</v>
      </c>
      <c r="M187" s="10" t="s">
        <v>295</v>
      </c>
      <c r="N187" s="15"/>
      <c r="O187" s="10"/>
    </row>
    <row r="188" customFormat="false" ht="29.85" hidden="false" customHeight="false" outlineLevel="0" collapsed="false">
      <c r="A188" s="9" t="s">
        <v>749</v>
      </c>
      <c r="B188" s="10" t="s">
        <v>674</v>
      </c>
      <c r="C188" s="9" t="s">
        <v>57</v>
      </c>
      <c r="D188" s="9" t="s">
        <v>293</v>
      </c>
      <c r="E188" s="9" t="s">
        <v>750</v>
      </c>
      <c r="F188" s="9" t="s">
        <v>751</v>
      </c>
      <c r="G188" s="10" t="s">
        <v>75</v>
      </c>
      <c r="H188" s="10" t="s">
        <v>97</v>
      </c>
      <c r="I188" s="11" t="n">
        <v>2</v>
      </c>
      <c r="J188" s="9" t="s">
        <v>340</v>
      </c>
      <c r="K188" s="10" t="s">
        <v>344</v>
      </c>
      <c r="L188" s="10" t="s">
        <v>297</v>
      </c>
      <c r="M188" s="10" t="s">
        <v>295</v>
      </c>
      <c r="N188" s="15"/>
      <c r="O188" s="10"/>
    </row>
    <row r="189" customFormat="false" ht="29.85" hidden="false" customHeight="false" outlineLevel="0" collapsed="false">
      <c r="A189" s="9" t="s">
        <v>752</v>
      </c>
      <c r="B189" s="10" t="s">
        <v>350</v>
      </c>
      <c r="C189" s="9" t="s">
        <v>57</v>
      </c>
      <c r="D189" s="9" t="s">
        <v>293</v>
      </c>
      <c r="E189" s="9" t="s">
        <v>753</v>
      </c>
      <c r="F189" s="9" t="s">
        <v>339</v>
      </c>
      <c r="G189" s="10" t="s">
        <v>77</v>
      </c>
      <c r="H189" s="10" t="s">
        <v>97</v>
      </c>
      <c r="I189" s="11" t="n">
        <v>1</v>
      </c>
      <c r="J189" s="9" t="s">
        <v>340</v>
      </c>
      <c r="K189" s="10" t="s">
        <v>341</v>
      </c>
      <c r="L189" s="10" t="s">
        <v>297</v>
      </c>
      <c r="M189" s="10" t="s">
        <v>295</v>
      </c>
      <c r="N189" s="15"/>
      <c r="O189" s="10"/>
    </row>
    <row r="190" customFormat="false" ht="29.85" hidden="false" customHeight="false" outlineLevel="0" collapsed="false">
      <c r="A190" s="9" t="s">
        <v>754</v>
      </c>
      <c r="B190" s="10" t="s">
        <v>350</v>
      </c>
      <c r="C190" s="9" t="s">
        <v>57</v>
      </c>
      <c r="D190" s="9" t="s">
        <v>293</v>
      </c>
      <c r="E190" s="9" t="s">
        <v>755</v>
      </c>
      <c r="F190" s="9" t="s">
        <v>339</v>
      </c>
      <c r="G190" s="10" t="s">
        <v>75</v>
      </c>
      <c r="H190" s="10" t="s">
        <v>97</v>
      </c>
      <c r="I190" s="11" t="n">
        <v>1</v>
      </c>
      <c r="J190" s="9" t="s">
        <v>340</v>
      </c>
      <c r="K190" s="10" t="s">
        <v>344</v>
      </c>
      <c r="L190" s="10" t="s">
        <v>297</v>
      </c>
      <c r="M190" s="10" t="s">
        <v>295</v>
      </c>
      <c r="N190" s="15"/>
      <c r="O190" s="10"/>
    </row>
    <row r="191" customFormat="false" ht="29.85" hidden="false" customHeight="false" outlineLevel="0" collapsed="false">
      <c r="A191" s="9" t="s">
        <v>756</v>
      </c>
      <c r="B191" s="10" t="s">
        <v>337</v>
      </c>
      <c r="C191" s="9" t="s">
        <v>57</v>
      </c>
      <c r="D191" s="9" t="s">
        <v>298</v>
      </c>
      <c r="E191" s="9" t="s">
        <v>757</v>
      </c>
      <c r="F191" s="9" t="s">
        <v>339</v>
      </c>
      <c r="G191" s="10" t="s">
        <v>77</v>
      </c>
      <c r="H191" s="10" t="s">
        <v>91</v>
      </c>
      <c r="I191" s="11" t="n">
        <v>1</v>
      </c>
      <c r="J191" s="9" t="s">
        <v>340</v>
      </c>
      <c r="K191" s="10" t="s">
        <v>341</v>
      </c>
      <c r="L191" s="10" t="s">
        <v>302</v>
      </c>
      <c r="M191" s="10" t="s">
        <v>300</v>
      </c>
      <c r="N191" s="15"/>
      <c r="O191" s="10"/>
    </row>
    <row r="192" customFormat="false" ht="29.85" hidden="false" customHeight="false" outlineLevel="0" collapsed="false">
      <c r="A192" s="9" t="s">
        <v>758</v>
      </c>
      <c r="B192" s="10" t="s">
        <v>337</v>
      </c>
      <c r="C192" s="9" t="s">
        <v>57</v>
      </c>
      <c r="D192" s="9" t="s">
        <v>298</v>
      </c>
      <c r="E192" s="9" t="s">
        <v>759</v>
      </c>
      <c r="F192" s="9" t="s">
        <v>339</v>
      </c>
      <c r="G192" s="10" t="s">
        <v>75</v>
      </c>
      <c r="H192" s="10" t="s">
        <v>91</v>
      </c>
      <c r="I192" s="11" t="n">
        <v>1</v>
      </c>
      <c r="J192" s="9" t="s">
        <v>340</v>
      </c>
      <c r="K192" s="10" t="s">
        <v>344</v>
      </c>
      <c r="L192" s="10" t="s">
        <v>302</v>
      </c>
      <c r="M192" s="10" t="s">
        <v>300</v>
      </c>
      <c r="N192" s="15"/>
      <c r="O192" s="10"/>
    </row>
    <row r="193" customFormat="false" ht="29.85" hidden="false" customHeight="false" outlineLevel="0" collapsed="false">
      <c r="A193" s="9" t="s">
        <v>760</v>
      </c>
      <c r="B193" s="10" t="s">
        <v>350</v>
      </c>
      <c r="C193" s="9" t="s">
        <v>57</v>
      </c>
      <c r="D193" s="9" t="s">
        <v>298</v>
      </c>
      <c r="E193" s="9" t="s">
        <v>761</v>
      </c>
      <c r="F193" s="9" t="s">
        <v>339</v>
      </c>
      <c r="G193" s="10" t="s">
        <v>77</v>
      </c>
      <c r="H193" s="10" t="s">
        <v>91</v>
      </c>
      <c r="I193" s="11" t="n">
        <v>1</v>
      </c>
      <c r="J193" s="9" t="s">
        <v>340</v>
      </c>
      <c r="K193" s="10" t="s">
        <v>341</v>
      </c>
      <c r="L193" s="10" t="s">
        <v>302</v>
      </c>
      <c r="M193" s="10" t="s">
        <v>300</v>
      </c>
      <c r="N193" s="15"/>
      <c r="O193" s="10"/>
    </row>
    <row r="194" customFormat="false" ht="15" hidden="false" customHeight="false" outlineLevel="0" collapsed="false">
      <c r="A194" s="9" t="s">
        <v>762</v>
      </c>
      <c r="B194" s="10" t="s">
        <v>350</v>
      </c>
      <c r="C194" s="9" t="s">
        <v>57</v>
      </c>
      <c r="D194" s="9" t="s">
        <v>298</v>
      </c>
      <c r="E194" s="9" t="s">
        <v>763</v>
      </c>
      <c r="F194" s="9" t="s">
        <v>339</v>
      </c>
      <c r="G194" s="10" t="s">
        <v>79</v>
      </c>
      <c r="H194" s="10" t="s">
        <v>91</v>
      </c>
      <c r="I194" s="11" t="n">
        <v>1</v>
      </c>
      <c r="J194" s="9" t="s">
        <v>340</v>
      </c>
      <c r="K194" s="10" t="s">
        <v>352</v>
      </c>
      <c r="L194" s="10" t="s">
        <v>302</v>
      </c>
      <c r="M194" s="10" t="s">
        <v>300</v>
      </c>
      <c r="N194" s="15"/>
      <c r="O194" s="10"/>
    </row>
    <row r="195" customFormat="false" ht="29.85" hidden="false" customHeight="false" outlineLevel="0" collapsed="false">
      <c r="A195" s="9" t="s">
        <v>764</v>
      </c>
      <c r="B195" s="10" t="s">
        <v>337</v>
      </c>
      <c r="C195" s="9" t="s">
        <v>59</v>
      </c>
      <c r="D195" s="9" t="s">
        <v>303</v>
      </c>
      <c r="E195" s="9" t="s">
        <v>765</v>
      </c>
      <c r="F195" s="9" t="s">
        <v>339</v>
      </c>
      <c r="G195" s="10" t="s">
        <v>77</v>
      </c>
      <c r="H195" s="10" t="s">
        <v>91</v>
      </c>
      <c r="I195" s="11" t="n">
        <v>1</v>
      </c>
      <c r="J195" s="9" t="s">
        <v>340</v>
      </c>
      <c r="K195" s="10" t="s">
        <v>341</v>
      </c>
      <c r="L195" s="10" t="s">
        <v>307</v>
      </c>
      <c r="M195" s="10" t="s">
        <v>305</v>
      </c>
      <c r="N195" s="15"/>
      <c r="O195" s="10"/>
    </row>
    <row r="196" customFormat="false" ht="15" hidden="false" customHeight="false" outlineLevel="0" collapsed="false">
      <c r="A196" s="9" t="s">
        <v>766</v>
      </c>
      <c r="B196" s="10" t="s">
        <v>337</v>
      </c>
      <c r="C196" s="9" t="s">
        <v>59</v>
      </c>
      <c r="D196" s="9" t="s">
        <v>303</v>
      </c>
      <c r="E196" s="9" t="s">
        <v>767</v>
      </c>
      <c r="F196" s="9" t="s">
        <v>339</v>
      </c>
      <c r="G196" s="10" t="s">
        <v>79</v>
      </c>
      <c r="H196" s="10" t="s">
        <v>91</v>
      </c>
      <c r="I196" s="11" t="n">
        <v>1</v>
      </c>
      <c r="J196" s="9" t="s">
        <v>340</v>
      </c>
      <c r="K196" s="10" t="s">
        <v>352</v>
      </c>
      <c r="L196" s="10" t="s">
        <v>307</v>
      </c>
      <c r="M196" s="10" t="s">
        <v>305</v>
      </c>
      <c r="N196" s="15"/>
      <c r="O196" s="10"/>
    </row>
    <row r="197" customFormat="false" ht="29.85" hidden="false" customHeight="false" outlineLevel="0" collapsed="false">
      <c r="A197" s="9" t="s">
        <v>768</v>
      </c>
      <c r="B197" s="10" t="s">
        <v>337</v>
      </c>
      <c r="C197" s="9" t="s">
        <v>59</v>
      </c>
      <c r="D197" s="9" t="s">
        <v>303</v>
      </c>
      <c r="E197" s="9" t="s">
        <v>769</v>
      </c>
      <c r="F197" s="9" t="s">
        <v>339</v>
      </c>
      <c r="G197" s="10" t="s">
        <v>77</v>
      </c>
      <c r="H197" s="10" t="s">
        <v>91</v>
      </c>
      <c r="I197" s="11" t="n">
        <v>1</v>
      </c>
      <c r="J197" s="9" t="s">
        <v>340</v>
      </c>
      <c r="K197" s="10" t="s">
        <v>341</v>
      </c>
      <c r="L197" s="10" t="s">
        <v>307</v>
      </c>
      <c r="M197" s="10" t="s">
        <v>305</v>
      </c>
      <c r="N197" s="15"/>
      <c r="O197" s="10"/>
    </row>
    <row r="198" customFormat="false" ht="15" hidden="false" customHeight="false" outlineLevel="0" collapsed="false">
      <c r="A198" s="9" t="s">
        <v>770</v>
      </c>
      <c r="B198" s="10" t="s">
        <v>350</v>
      </c>
      <c r="C198" s="9" t="s">
        <v>59</v>
      </c>
      <c r="D198" s="9" t="s">
        <v>303</v>
      </c>
      <c r="E198" s="9" t="s">
        <v>771</v>
      </c>
      <c r="F198" s="9" t="s">
        <v>339</v>
      </c>
      <c r="G198" s="10" t="s">
        <v>78</v>
      </c>
      <c r="H198" s="10" t="s">
        <v>91</v>
      </c>
      <c r="I198" s="11" t="n">
        <v>1</v>
      </c>
      <c r="J198" s="9" t="s">
        <v>340</v>
      </c>
      <c r="K198" s="10" t="s">
        <v>367</v>
      </c>
      <c r="L198" s="10" t="s">
        <v>307</v>
      </c>
      <c r="M198" s="10" t="s">
        <v>305</v>
      </c>
      <c r="N198" s="15"/>
      <c r="O198" s="10"/>
    </row>
    <row r="199" customFormat="false" ht="15" hidden="false" customHeight="false" outlineLevel="0" collapsed="false">
      <c r="A199" s="9" t="s">
        <v>772</v>
      </c>
      <c r="B199" s="10" t="s">
        <v>350</v>
      </c>
      <c r="C199" s="9" t="s">
        <v>59</v>
      </c>
      <c r="D199" s="9" t="s">
        <v>303</v>
      </c>
      <c r="E199" s="9" t="s">
        <v>773</v>
      </c>
      <c r="F199" s="9" t="s">
        <v>774</v>
      </c>
      <c r="G199" s="10" t="s">
        <v>79</v>
      </c>
      <c r="H199" s="10" t="s">
        <v>97</v>
      </c>
      <c r="I199" s="11" t="n">
        <v>2</v>
      </c>
      <c r="J199" s="9" t="s">
        <v>340</v>
      </c>
      <c r="K199" s="10" t="s">
        <v>352</v>
      </c>
      <c r="L199" s="10" t="s">
        <v>307</v>
      </c>
      <c r="M199" s="10" t="s">
        <v>305</v>
      </c>
      <c r="N199" s="15"/>
      <c r="O199" s="10"/>
    </row>
    <row r="200" customFormat="false" ht="29.85" hidden="false" customHeight="false" outlineLevel="0" collapsed="false">
      <c r="A200" s="9" t="s">
        <v>775</v>
      </c>
      <c r="B200" s="10" t="s">
        <v>337</v>
      </c>
      <c r="C200" s="9" t="s">
        <v>59</v>
      </c>
      <c r="D200" s="9" t="s">
        <v>308</v>
      </c>
      <c r="E200" s="9" t="s">
        <v>776</v>
      </c>
      <c r="F200" s="9" t="s">
        <v>777</v>
      </c>
      <c r="G200" s="10" t="s">
        <v>76</v>
      </c>
      <c r="H200" s="10" t="s">
        <v>91</v>
      </c>
      <c r="I200" s="11" t="n">
        <v>5</v>
      </c>
      <c r="J200" s="9" t="s">
        <v>340</v>
      </c>
      <c r="K200" s="10" t="s">
        <v>348</v>
      </c>
      <c r="L200" s="10" t="s">
        <v>312</v>
      </c>
      <c r="M200" s="10" t="s">
        <v>310</v>
      </c>
      <c r="N200" s="15"/>
      <c r="O200" s="10"/>
    </row>
    <row r="201" customFormat="false" ht="29.85" hidden="false" customHeight="false" outlineLevel="0" collapsed="false">
      <c r="A201" s="9" t="s">
        <v>778</v>
      </c>
      <c r="B201" s="10" t="s">
        <v>337</v>
      </c>
      <c r="C201" s="9" t="s">
        <v>59</v>
      </c>
      <c r="D201" s="9" t="s">
        <v>308</v>
      </c>
      <c r="E201" s="9" t="s">
        <v>779</v>
      </c>
      <c r="F201" s="9" t="s">
        <v>339</v>
      </c>
      <c r="G201" s="10" t="s">
        <v>75</v>
      </c>
      <c r="H201" s="10" t="s">
        <v>91</v>
      </c>
      <c r="I201" s="11" t="n">
        <v>1</v>
      </c>
      <c r="J201" s="9" t="s">
        <v>340</v>
      </c>
      <c r="K201" s="10" t="s">
        <v>344</v>
      </c>
      <c r="L201" s="10" t="s">
        <v>312</v>
      </c>
      <c r="M201" s="10" t="s">
        <v>310</v>
      </c>
      <c r="N201" s="15"/>
      <c r="O201" s="10"/>
    </row>
    <row r="202" customFormat="false" ht="15" hidden="false" customHeight="false" outlineLevel="0" collapsed="false">
      <c r="A202" s="9" t="s">
        <v>780</v>
      </c>
      <c r="B202" s="10" t="s">
        <v>350</v>
      </c>
      <c r="C202" s="9" t="s">
        <v>59</v>
      </c>
      <c r="D202" s="9" t="s">
        <v>308</v>
      </c>
      <c r="E202" s="9" t="s">
        <v>781</v>
      </c>
      <c r="F202" s="9" t="s">
        <v>339</v>
      </c>
      <c r="G202" s="10" t="s">
        <v>78</v>
      </c>
      <c r="H202" s="10" t="s">
        <v>91</v>
      </c>
      <c r="I202" s="11" t="n">
        <v>1</v>
      </c>
      <c r="J202" s="9" t="s">
        <v>340</v>
      </c>
      <c r="K202" s="10" t="s">
        <v>367</v>
      </c>
      <c r="L202" s="10" t="s">
        <v>312</v>
      </c>
      <c r="M202" s="10" t="s">
        <v>310</v>
      </c>
      <c r="N202" s="15"/>
      <c r="O202" s="10"/>
    </row>
    <row r="203" customFormat="false" ht="15" hidden="false" customHeight="false" outlineLevel="0" collapsed="false">
      <c r="A203" s="9" t="s">
        <v>782</v>
      </c>
      <c r="B203" s="10" t="s">
        <v>350</v>
      </c>
      <c r="C203" s="9" t="s">
        <v>59</v>
      </c>
      <c r="D203" s="9" t="s">
        <v>308</v>
      </c>
      <c r="E203" s="9" t="s">
        <v>783</v>
      </c>
      <c r="F203" s="9" t="s">
        <v>339</v>
      </c>
      <c r="G203" s="10" t="s">
        <v>76</v>
      </c>
      <c r="H203" s="10" t="s">
        <v>131</v>
      </c>
      <c r="I203" s="11" t="n">
        <v>1</v>
      </c>
      <c r="J203" s="9" t="s">
        <v>340</v>
      </c>
      <c r="K203" s="10" t="s">
        <v>348</v>
      </c>
      <c r="L203" s="10" t="s">
        <v>312</v>
      </c>
      <c r="M203" s="10" t="s">
        <v>310</v>
      </c>
      <c r="N203" s="15"/>
      <c r="O203" s="10"/>
    </row>
    <row r="204" customFormat="false" ht="15" hidden="false" customHeight="false" outlineLevel="0" collapsed="false">
      <c r="A204" s="9" t="s">
        <v>784</v>
      </c>
      <c r="B204" s="10" t="s">
        <v>337</v>
      </c>
      <c r="C204" s="9" t="s">
        <v>59</v>
      </c>
      <c r="D204" s="9" t="s">
        <v>313</v>
      </c>
      <c r="E204" s="9" t="s">
        <v>785</v>
      </c>
      <c r="F204" s="9" t="s">
        <v>339</v>
      </c>
      <c r="G204" s="10" t="s">
        <v>76</v>
      </c>
      <c r="H204" s="10" t="s">
        <v>131</v>
      </c>
      <c r="I204" s="11" t="n">
        <v>1</v>
      </c>
      <c r="J204" s="9" t="s">
        <v>340</v>
      </c>
      <c r="K204" s="10" t="s">
        <v>348</v>
      </c>
      <c r="L204" s="10" t="s">
        <v>317</v>
      </c>
      <c r="M204" s="10" t="s">
        <v>315</v>
      </c>
      <c r="N204" s="15"/>
      <c r="O204" s="10"/>
    </row>
    <row r="205" customFormat="false" ht="15" hidden="false" customHeight="false" outlineLevel="0" collapsed="false">
      <c r="A205" s="9" t="s">
        <v>786</v>
      </c>
      <c r="B205" s="10" t="s">
        <v>337</v>
      </c>
      <c r="C205" s="9" t="s">
        <v>59</v>
      </c>
      <c r="D205" s="9" t="s">
        <v>313</v>
      </c>
      <c r="E205" s="9" t="s">
        <v>787</v>
      </c>
      <c r="F205" s="9" t="s">
        <v>339</v>
      </c>
      <c r="G205" s="10" t="s">
        <v>76</v>
      </c>
      <c r="H205" s="10" t="s">
        <v>91</v>
      </c>
      <c r="I205" s="11" t="n">
        <v>1</v>
      </c>
      <c r="J205" s="9" t="s">
        <v>340</v>
      </c>
      <c r="K205" s="10" t="s">
        <v>348</v>
      </c>
      <c r="L205" s="10" t="s">
        <v>317</v>
      </c>
      <c r="M205" s="10" t="s">
        <v>315</v>
      </c>
      <c r="N205" s="15"/>
      <c r="O205" s="10"/>
    </row>
    <row r="206" customFormat="false" ht="29.85" hidden="false" customHeight="false" outlineLevel="0" collapsed="false">
      <c r="A206" s="9" t="s">
        <v>788</v>
      </c>
      <c r="B206" s="10" t="s">
        <v>350</v>
      </c>
      <c r="C206" s="9" t="s">
        <v>59</v>
      </c>
      <c r="D206" s="9" t="s">
        <v>313</v>
      </c>
      <c r="E206" s="9" t="s">
        <v>789</v>
      </c>
      <c r="F206" s="9" t="s">
        <v>790</v>
      </c>
      <c r="G206" s="10" t="s">
        <v>75</v>
      </c>
      <c r="H206" s="10" t="s">
        <v>91</v>
      </c>
      <c r="I206" s="11" t="n">
        <v>4</v>
      </c>
      <c r="J206" s="9" t="s">
        <v>340</v>
      </c>
      <c r="K206" s="10" t="s">
        <v>344</v>
      </c>
      <c r="L206" s="10" t="s">
        <v>317</v>
      </c>
      <c r="M206" s="10" t="s">
        <v>315</v>
      </c>
      <c r="N206" s="15"/>
      <c r="O206" s="10"/>
    </row>
    <row r="207" customFormat="false" ht="15" hidden="false" customHeight="false" outlineLevel="0" collapsed="false">
      <c r="A207" s="9" t="s">
        <v>791</v>
      </c>
      <c r="B207" s="10" t="s">
        <v>350</v>
      </c>
      <c r="C207" s="9" t="s">
        <v>59</v>
      </c>
      <c r="D207" s="9" t="s">
        <v>313</v>
      </c>
      <c r="E207" s="9" t="s">
        <v>792</v>
      </c>
      <c r="F207" s="9" t="s">
        <v>339</v>
      </c>
      <c r="G207" s="10" t="s">
        <v>76</v>
      </c>
      <c r="H207" s="10" t="s">
        <v>131</v>
      </c>
      <c r="I207" s="11" t="n">
        <v>1</v>
      </c>
      <c r="J207" s="9" t="s">
        <v>340</v>
      </c>
      <c r="K207" s="10" t="s">
        <v>348</v>
      </c>
      <c r="L207" s="10" t="s">
        <v>317</v>
      </c>
      <c r="M207" s="10" t="s">
        <v>315</v>
      </c>
      <c r="N207" s="15"/>
      <c r="O207" s="10"/>
    </row>
    <row r="208" customFormat="false" ht="29.85" hidden="false" customHeight="false" outlineLevel="0" collapsed="false">
      <c r="A208" s="9" t="s">
        <v>793</v>
      </c>
      <c r="B208" s="10" t="s">
        <v>337</v>
      </c>
      <c r="C208" s="9" t="s">
        <v>59</v>
      </c>
      <c r="D208" s="9" t="s">
        <v>318</v>
      </c>
      <c r="E208" s="9" t="s">
        <v>794</v>
      </c>
      <c r="F208" s="9" t="s">
        <v>339</v>
      </c>
      <c r="G208" s="10" t="s">
        <v>77</v>
      </c>
      <c r="H208" s="10" t="s">
        <v>97</v>
      </c>
      <c r="I208" s="11" t="n">
        <v>1</v>
      </c>
      <c r="J208" s="9" t="s">
        <v>340</v>
      </c>
      <c r="K208" s="10" t="s">
        <v>341</v>
      </c>
      <c r="L208" s="10" t="s">
        <v>200</v>
      </c>
      <c r="M208" s="10" t="s">
        <v>320</v>
      </c>
      <c r="N208" s="15"/>
      <c r="O208" s="10"/>
    </row>
    <row r="209" customFormat="false" ht="15" hidden="false" customHeight="false" outlineLevel="0" collapsed="false">
      <c r="A209" s="9" t="s">
        <v>795</v>
      </c>
      <c r="B209" s="10" t="s">
        <v>337</v>
      </c>
      <c r="C209" s="9" t="s">
        <v>59</v>
      </c>
      <c r="D209" s="9" t="s">
        <v>318</v>
      </c>
      <c r="E209" s="9" t="s">
        <v>796</v>
      </c>
      <c r="F209" s="9" t="s">
        <v>339</v>
      </c>
      <c r="G209" s="10" t="s">
        <v>76</v>
      </c>
      <c r="H209" s="10" t="s">
        <v>91</v>
      </c>
      <c r="I209" s="11" t="n">
        <v>1</v>
      </c>
      <c r="J209" s="9" t="s">
        <v>340</v>
      </c>
      <c r="K209" s="10" t="s">
        <v>348</v>
      </c>
      <c r="L209" s="10" t="s">
        <v>200</v>
      </c>
      <c r="M209" s="10" t="s">
        <v>320</v>
      </c>
      <c r="N209" s="15"/>
      <c r="O209" s="10"/>
    </row>
    <row r="210" customFormat="false" ht="15" hidden="false" customHeight="false" outlineLevel="0" collapsed="false">
      <c r="A210" s="9" t="s">
        <v>797</v>
      </c>
      <c r="B210" s="10" t="s">
        <v>350</v>
      </c>
      <c r="C210" s="9" t="s">
        <v>59</v>
      </c>
      <c r="D210" s="9" t="s">
        <v>318</v>
      </c>
      <c r="E210" s="9" t="s">
        <v>798</v>
      </c>
      <c r="F210" s="9" t="s">
        <v>339</v>
      </c>
      <c r="G210" s="10" t="s">
        <v>78</v>
      </c>
      <c r="H210" s="10" t="s">
        <v>91</v>
      </c>
      <c r="I210" s="11" t="n">
        <v>1</v>
      </c>
      <c r="J210" s="9" t="s">
        <v>340</v>
      </c>
      <c r="K210" s="10" t="s">
        <v>367</v>
      </c>
      <c r="L210" s="10" t="s">
        <v>200</v>
      </c>
      <c r="M210" s="10" t="s">
        <v>320</v>
      </c>
      <c r="N210" s="15"/>
      <c r="O210" s="10"/>
    </row>
    <row r="211" customFormat="false" ht="29.85" hidden="false" customHeight="false" outlineLevel="0" collapsed="false">
      <c r="A211" s="9" t="s">
        <v>799</v>
      </c>
      <c r="B211" s="10" t="s">
        <v>350</v>
      </c>
      <c r="C211" s="9" t="s">
        <v>59</v>
      </c>
      <c r="D211" s="9" t="s">
        <v>318</v>
      </c>
      <c r="E211" s="9" t="s">
        <v>800</v>
      </c>
      <c r="F211" s="9" t="s">
        <v>339</v>
      </c>
      <c r="G211" s="10" t="s">
        <v>75</v>
      </c>
      <c r="H211" s="10" t="s">
        <v>97</v>
      </c>
      <c r="I211" s="11" t="n">
        <v>1</v>
      </c>
      <c r="J211" s="9" t="s">
        <v>340</v>
      </c>
      <c r="K211" s="10" t="s">
        <v>344</v>
      </c>
      <c r="L211" s="10" t="s">
        <v>200</v>
      </c>
      <c r="M211" s="10" t="s">
        <v>320</v>
      </c>
      <c r="N211" s="15"/>
      <c r="O211" s="10"/>
    </row>
    <row r="212" customFormat="false" ht="29.85" hidden="false" customHeight="false" outlineLevel="0" collapsed="false">
      <c r="A212" s="9" t="s">
        <v>801</v>
      </c>
      <c r="B212" s="10" t="s">
        <v>350</v>
      </c>
      <c r="C212" s="9" t="s">
        <v>37</v>
      </c>
      <c r="D212" s="9" t="s">
        <v>88</v>
      </c>
      <c r="E212" s="9" t="s">
        <v>802</v>
      </c>
      <c r="F212" s="9" t="s">
        <v>339</v>
      </c>
      <c r="G212" s="10" t="s">
        <v>75</v>
      </c>
      <c r="H212" s="10" t="s">
        <v>97</v>
      </c>
      <c r="I212" s="11" t="n">
        <v>1</v>
      </c>
      <c r="J212" s="9" t="s">
        <v>340</v>
      </c>
      <c r="K212" s="10" t="s">
        <v>344</v>
      </c>
      <c r="L212" s="10" t="s">
        <v>93</v>
      </c>
      <c r="M212" s="10" t="s">
        <v>90</v>
      </c>
      <c r="N212" s="15"/>
      <c r="O212" s="10"/>
    </row>
    <row r="213" customFormat="false" ht="15" hidden="false" customHeight="false" outlineLevel="0" collapsed="false">
      <c r="A213" s="9" t="s">
        <v>803</v>
      </c>
      <c r="B213" s="10" t="s">
        <v>350</v>
      </c>
      <c r="C213" s="9" t="s">
        <v>37</v>
      </c>
      <c r="D213" s="9" t="s">
        <v>88</v>
      </c>
      <c r="E213" s="9" t="s">
        <v>804</v>
      </c>
      <c r="F213" s="9" t="s">
        <v>339</v>
      </c>
      <c r="G213" s="10" t="s">
        <v>76</v>
      </c>
      <c r="H213" s="10" t="s">
        <v>131</v>
      </c>
      <c r="I213" s="11" t="n">
        <v>1</v>
      </c>
      <c r="J213" s="9" t="s">
        <v>340</v>
      </c>
      <c r="K213" s="10" t="s">
        <v>348</v>
      </c>
      <c r="L213" s="10" t="s">
        <v>93</v>
      </c>
      <c r="M213" s="10" t="s">
        <v>90</v>
      </c>
      <c r="N213" s="15"/>
      <c r="O213" s="10"/>
    </row>
    <row r="214" customFormat="false" ht="29.85" hidden="false" customHeight="false" outlineLevel="0" collapsed="false">
      <c r="A214" s="9" t="s">
        <v>805</v>
      </c>
      <c r="B214" s="10" t="s">
        <v>350</v>
      </c>
      <c r="C214" s="9" t="s">
        <v>37</v>
      </c>
      <c r="D214" s="9" t="s">
        <v>94</v>
      </c>
      <c r="E214" s="9" t="s">
        <v>806</v>
      </c>
      <c r="F214" s="9" t="s">
        <v>339</v>
      </c>
      <c r="G214" s="10" t="s">
        <v>75</v>
      </c>
      <c r="H214" s="10" t="s">
        <v>97</v>
      </c>
      <c r="I214" s="11" t="n">
        <v>1</v>
      </c>
      <c r="J214" s="9" t="s">
        <v>340</v>
      </c>
      <c r="K214" s="10" t="s">
        <v>344</v>
      </c>
      <c r="L214" s="10" t="s">
        <v>99</v>
      </c>
      <c r="M214" s="10" t="s">
        <v>96</v>
      </c>
      <c r="N214" s="15"/>
      <c r="O214" s="10"/>
    </row>
    <row r="215" customFormat="false" ht="29.85" hidden="false" customHeight="false" outlineLevel="0" collapsed="false">
      <c r="A215" s="9" t="s">
        <v>807</v>
      </c>
      <c r="B215" s="10" t="s">
        <v>350</v>
      </c>
      <c r="C215" s="9" t="s">
        <v>37</v>
      </c>
      <c r="D215" s="9" t="s">
        <v>94</v>
      </c>
      <c r="E215" s="9" t="s">
        <v>808</v>
      </c>
      <c r="F215" s="9" t="s">
        <v>366</v>
      </c>
      <c r="G215" s="10" t="s">
        <v>77</v>
      </c>
      <c r="H215" s="10" t="s">
        <v>97</v>
      </c>
      <c r="I215" s="11" t="n">
        <v>8</v>
      </c>
      <c r="J215" s="9" t="s">
        <v>356</v>
      </c>
      <c r="K215" s="10" t="s">
        <v>341</v>
      </c>
      <c r="L215" s="10" t="s">
        <v>99</v>
      </c>
      <c r="M215" s="10" t="s">
        <v>96</v>
      </c>
      <c r="N215" s="15"/>
      <c r="O215" s="10"/>
    </row>
    <row r="216" customFormat="false" ht="15" hidden="false" customHeight="false" outlineLevel="0" collapsed="false">
      <c r="A216" s="9" t="s">
        <v>809</v>
      </c>
      <c r="B216" s="10" t="s">
        <v>350</v>
      </c>
      <c r="C216" s="9" t="s">
        <v>37</v>
      </c>
      <c r="D216" s="9" t="s">
        <v>100</v>
      </c>
      <c r="E216" s="9" t="s">
        <v>810</v>
      </c>
      <c r="F216" s="9" t="s">
        <v>339</v>
      </c>
      <c r="G216" s="10" t="s">
        <v>76</v>
      </c>
      <c r="H216" s="10" t="s">
        <v>131</v>
      </c>
      <c r="I216" s="11" t="n">
        <v>1</v>
      </c>
      <c r="J216" s="9" t="s">
        <v>340</v>
      </c>
      <c r="K216" s="10" t="s">
        <v>348</v>
      </c>
      <c r="L216" s="10" t="s">
        <v>99</v>
      </c>
      <c r="M216" s="10" t="s">
        <v>102</v>
      </c>
      <c r="N216" s="15"/>
      <c r="O216" s="10"/>
    </row>
    <row r="217" customFormat="false" ht="29.85" hidden="false" customHeight="false" outlineLevel="0" collapsed="false">
      <c r="A217" s="9" t="s">
        <v>811</v>
      </c>
      <c r="B217" s="10" t="s">
        <v>350</v>
      </c>
      <c r="C217" s="9" t="s">
        <v>37</v>
      </c>
      <c r="D217" s="9" t="s">
        <v>104</v>
      </c>
      <c r="E217" s="9" t="s">
        <v>812</v>
      </c>
      <c r="F217" s="9" t="s">
        <v>339</v>
      </c>
      <c r="G217" s="10" t="s">
        <v>75</v>
      </c>
      <c r="H217" s="10" t="s">
        <v>91</v>
      </c>
      <c r="I217" s="11" t="n">
        <v>1</v>
      </c>
      <c r="J217" s="9" t="s">
        <v>340</v>
      </c>
      <c r="K217" s="10" t="s">
        <v>344</v>
      </c>
      <c r="L217" s="10" t="s">
        <v>108</v>
      </c>
      <c r="M217" s="10" t="s">
        <v>106</v>
      </c>
      <c r="N217" s="15"/>
      <c r="O217" s="10"/>
    </row>
    <row r="218" customFormat="false" ht="15" hidden="false" customHeight="false" outlineLevel="0" collapsed="false">
      <c r="A218" s="9" t="s">
        <v>813</v>
      </c>
      <c r="B218" s="10" t="s">
        <v>350</v>
      </c>
      <c r="C218" s="9" t="s">
        <v>37</v>
      </c>
      <c r="D218" s="9" t="s">
        <v>104</v>
      </c>
      <c r="E218" s="9" t="s">
        <v>814</v>
      </c>
      <c r="F218" s="9" t="s">
        <v>339</v>
      </c>
      <c r="G218" s="10" t="s">
        <v>76</v>
      </c>
      <c r="H218" s="10" t="s">
        <v>97</v>
      </c>
      <c r="I218" s="11" t="n">
        <v>1</v>
      </c>
      <c r="J218" s="9" t="s">
        <v>340</v>
      </c>
      <c r="K218" s="10" t="s">
        <v>348</v>
      </c>
      <c r="L218" s="10" t="s">
        <v>108</v>
      </c>
      <c r="M218" s="10" t="s">
        <v>106</v>
      </c>
      <c r="N218" s="15"/>
      <c r="O218" s="10"/>
    </row>
    <row r="219" customFormat="false" ht="29.85" hidden="false" customHeight="false" outlineLevel="0" collapsed="false">
      <c r="A219" s="9" t="s">
        <v>815</v>
      </c>
      <c r="B219" s="10" t="s">
        <v>350</v>
      </c>
      <c r="C219" s="9" t="s">
        <v>39</v>
      </c>
      <c r="D219" s="9" t="s">
        <v>109</v>
      </c>
      <c r="E219" s="9" t="s">
        <v>816</v>
      </c>
      <c r="F219" s="9" t="s">
        <v>366</v>
      </c>
      <c r="G219" s="10" t="s">
        <v>77</v>
      </c>
      <c r="H219" s="10" t="s">
        <v>91</v>
      </c>
      <c r="I219" s="11" t="n">
        <v>8</v>
      </c>
      <c r="J219" s="9" t="s">
        <v>356</v>
      </c>
      <c r="K219" s="10" t="s">
        <v>341</v>
      </c>
      <c r="L219" s="10" t="s">
        <v>113</v>
      </c>
      <c r="M219" s="10" t="s">
        <v>111</v>
      </c>
      <c r="N219" s="15"/>
      <c r="O219" s="10"/>
    </row>
    <row r="220" customFormat="false" ht="29.85" hidden="false" customHeight="false" outlineLevel="0" collapsed="false">
      <c r="A220" s="9" t="s">
        <v>817</v>
      </c>
      <c r="B220" s="10" t="s">
        <v>350</v>
      </c>
      <c r="C220" s="9" t="s">
        <v>39</v>
      </c>
      <c r="D220" s="9" t="s">
        <v>109</v>
      </c>
      <c r="E220" s="9" t="s">
        <v>818</v>
      </c>
      <c r="F220" s="9" t="s">
        <v>339</v>
      </c>
      <c r="G220" s="10" t="s">
        <v>77</v>
      </c>
      <c r="H220" s="10" t="s">
        <v>91</v>
      </c>
      <c r="I220" s="11" t="n">
        <v>1</v>
      </c>
      <c r="J220" s="9" t="s">
        <v>340</v>
      </c>
      <c r="K220" s="10" t="s">
        <v>341</v>
      </c>
      <c r="L220" s="10" t="s">
        <v>113</v>
      </c>
      <c r="M220" s="10" t="s">
        <v>111</v>
      </c>
      <c r="N220" s="15"/>
      <c r="O220" s="10"/>
    </row>
    <row r="221" customFormat="false" ht="29.85" hidden="false" customHeight="false" outlineLevel="0" collapsed="false">
      <c r="A221" s="9" t="s">
        <v>819</v>
      </c>
      <c r="B221" s="10" t="s">
        <v>350</v>
      </c>
      <c r="C221" s="9" t="s">
        <v>39</v>
      </c>
      <c r="D221" s="9" t="s">
        <v>114</v>
      </c>
      <c r="E221" s="9" t="s">
        <v>820</v>
      </c>
      <c r="F221" s="9" t="s">
        <v>821</v>
      </c>
      <c r="G221" s="10" t="s">
        <v>76</v>
      </c>
      <c r="H221" s="10" t="s">
        <v>97</v>
      </c>
      <c r="I221" s="11" t="n">
        <v>4</v>
      </c>
      <c r="J221" s="9" t="s">
        <v>340</v>
      </c>
      <c r="K221" s="10" t="s">
        <v>348</v>
      </c>
      <c r="L221" s="10" t="s">
        <v>118</v>
      </c>
      <c r="M221" s="10" t="s">
        <v>116</v>
      </c>
      <c r="N221" s="15"/>
      <c r="O221" s="10"/>
    </row>
    <row r="222" customFormat="false" ht="15" hidden="false" customHeight="false" outlineLevel="0" collapsed="false">
      <c r="A222" s="9" t="s">
        <v>822</v>
      </c>
      <c r="B222" s="10" t="s">
        <v>350</v>
      </c>
      <c r="C222" s="9" t="s">
        <v>39</v>
      </c>
      <c r="D222" s="9" t="s">
        <v>114</v>
      </c>
      <c r="E222" s="9" t="s">
        <v>823</v>
      </c>
      <c r="F222" s="9" t="s">
        <v>339</v>
      </c>
      <c r="G222" s="10" t="s">
        <v>78</v>
      </c>
      <c r="H222" s="10" t="s">
        <v>91</v>
      </c>
      <c r="I222" s="11" t="n">
        <v>1</v>
      </c>
      <c r="J222" s="9" t="s">
        <v>340</v>
      </c>
      <c r="K222" s="10" t="s">
        <v>367</v>
      </c>
      <c r="L222" s="10" t="s">
        <v>118</v>
      </c>
      <c r="M222" s="10" t="s">
        <v>116</v>
      </c>
      <c r="N222" s="15"/>
      <c r="O222" s="10"/>
    </row>
    <row r="223" customFormat="false" ht="15" hidden="false" customHeight="false" outlineLevel="0" collapsed="false">
      <c r="A223" s="9" t="s">
        <v>824</v>
      </c>
      <c r="B223" s="10" t="s">
        <v>350</v>
      </c>
      <c r="C223" s="9" t="s">
        <v>39</v>
      </c>
      <c r="D223" s="9" t="s">
        <v>119</v>
      </c>
      <c r="E223" s="9" t="s">
        <v>825</v>
      </c>
      <c r="F223" s="9" t="s">
        <v>339</v>
      </c>
      <c r="G223" s="10" t="s">
        <v>76</v>
      </c>
      <c r="H223" s="10" t="s">
        <v>91</v>
      </c>
      <c r="I223" s="11" t="n">
        <v>1</v>
      </c>
      <c r="J223" s="9" t="s">
        <v>340</v>
      </c>
      <c r="K223" s="10" t="s">
        <v>348</v>
      </c>
      <c r="L223" s="10" t="s">
        <v>123</v>
      </c>
      <c r="M223" s="10" t="s">
        <v>121</v>
      </c>
      <c r="N223" s="15"/>
      <c r="O223" s="10"/>
    </row>
    <row r="224" customFormat="false" ht="15" hidden="false" customHeight="false" outlineLevel="0" collapsed="false">
      <c r="A224" s="9" t="s">
        <v>826</v>
      </c>
      <c r="B224" s="10" t="s">
        <v>350</v>
      </c>
      <c r="C224" s="9" t="s">
        <v>39</v>
      </c>
      <c r="D224" s="9" t="s">
        <v>119</v>
      </c>
      <c r="E224" s="9" t="s">
        <v>827</v>
      </c>
      <c r="F224" s="9" t="s">
        <v>339</v>
      </c>
      <c r="G224" s="10" t="s">
        <v>78</v>
      </c>
      <c r="H224" s="10" t="s">
        <v>97</v>
      </c>
      <c r="I224" s="11" t="n">
        <v>1</v>
      </c>
      <c r="J224" s="9" t="s">
        <v>340</v>
      </c>
      <c r="K224" s="10" t="s">
        <v>367</v>
      </c>
      <c r="L224" s="10" t="s">
        <v>123</v>
      </c>
      <c r="M224" s="10" t="s">
        <v>121</v>
      </c>
      <c r="N224" s="15"/>
      <c r="O224" s="10"/>
    </row>
    <row r="225" customFormat="false" ht="29.85" hidden="false" customHeight="false" outlineLevel="0" collapsed="false">
      <c r="A225" s="9" t="s">
        <v>828</v>
      </c>
      <c r="B225" s="10" t="s">
        <v>350</v>
      </c>
      <c r="C225" s="9" t="s">
        <v>39</v>
      </c>
      <c r="D225" s="9" t="s">
        <v>124</v>
      </c>
      <c r="E225" s="9" t="s">
        <v>829</v>
      </c>
      <c r="F225" s="9" t="s">
        <v>339</v>
      </c>
      <c r="G225" s="10" t="s">
        <v>75</v>
      </c>
      <c r="H225" s="10" t="s">
        <v>97</v>
      </c>
      <c r="I225" s="11" t="n">
        <v>1</v>
      </c>
      <c r="J225" s="9" t="s">
        <v>340</v>
      </c>
      <c r="K225" s="10" t="s">
        <v>344</v>
      </c>
      <c r="L225" s="10" t="s">
        <v>127</v>
      </c>
      <c r="M225" s="10" t="s">
        <v>121</v>
      </c>
      <c r="N225" s="15"/>
      <c r="O225" s="10"/>
    </row>
    <row r="226" customFormat="false" ht="29.85" hidden="false" customHeight="false" outlineLevel="0" collapsed="false">
      <c r="A226" s="9" t="s">
        <v>830</v>
      </c>
      <c r="B226" s="10" t="s">
        <v>350</v>
      </c>
      <c r="C226" s="9" t="s">
        <v>39</v>
      </c>
      <c r="D226" s="9" t="s">
        <v>124</v>
      </c>
      <c r="E226" s="9" t="s">
        <v>831</v>
      </c>
      <c r="F226" s="9" t="s">
        <v>339</v>
      </c>
      <c r="G226" s="10" t="s">
        <v>75</v>
      </c>
      <c r="H226" s="10" t="s">
        <v>97</v>
      </c>
      <c r="I226" s="11" t="n">
        <v>1</v>
      </c>
      <c r="J226" s="9" t="s">
        <v>340</v>
      </c>
      <c r="K226" s="10" t="s">
        <v>344</v>
      </c>
      <c r="L226" s="10" t="s">
        <v>127</v>
      </c>
      <c r="M226" s="10" t="s">
        <v>121</v>
      </c>
      <c r="N226" s="15"/>
      <c r="O226" s="10"/>
    </row>
    <row r="227" customFormat="false" ht="29.85" hidden="false" customHeight="false" outlineLevel="0" collapsed="false">
      <c r="A227" s="9" t="s">
        <v>832</v>
      </c>
      <c r="B227" s="10" t="s">
        <v>350</v>
      </c>
      <c r="C227" s="9" t="s">
        <v>41</v>
      </c>
      <c r="D227" s="9" t="s">
        <v>128</v>
      </c>
      <c r="E227" s="9" t="s">
        <v>833</v>
      </c>
      <c r="F227" s="9" t="s">
        <v>366</v>
      </c>
      <c r="G227" s="10" t="s">
        <v>77</v>
      </c>
      <c r="H227" s="10" t="s">
        <v>131</v>
      </c>
      <c r="I227" s="11" t="n">
        <v>8</v>
      </c>
      <c r="J227" s="9" t="s">
        <v>356</v>
      </c>
      <c r="K227" s="10" t="s">
        <v>341</v>
      </c>
      <c r="L227" s="10" t="s">
        <v>133</v>
      </c>
      <c r="M227" s="10" t="s">
        <v>130</v>
      </c>
      <c r="N227" s="15"/>
      <c r="O227" s="10"/>
    </row>
    <row r="228" customFormat="false" ht="15" hidden="false" customHeight="false" outlineLevel="0" collapsed="false">
      <c r="A228" s="9" t="s">
        <v>834</v>
      </c>
      <c r="B228" s="10" t="s">
        <v>350</v>
      </c>
      <c r="C228" s="9" t="s">
        <v>41</v>
      </c>
      <c r="D228" s="9" t="s">
        <v>128</v>
      </c>
      <c r="E228" s="9" t="s">
        <v>835</v>
      </c>
      <c r="F228" s="9" t="s">
        <v>339</v>
      </c>
      <c r="G228" s="10" t="s">
        <v>79</v>
      </c>
      <c r="H228" s="10" t="s">
        <v>131</v>
      </c>
      <c r="I228" s="11" t="n">
        <v>1</v>
      </c>
      <c r="J228" s="9" t="s">
        <v>340</v>
      </c>
      <c r="K228" s="10" t="s">
        <v>352</v>
      </c>
      <c r="L228" s="10" t="s">
        <v>133</v>
      </c>
      <c r="M228" s="10" t="s">
        <v>130</v>
      </c>
      <c r="N228" s="15"/>
      <c r="O228" s="10"/>
    </row>
    <row r="229" customFormat="false" ht="29.85" hidden="false" customHeight="false" outlineLevel="0" collapsed="false">
      <c r="A229" s="9" t="s">
        <v>836</v>
      </c>
      <c r="B229" s="10" t="s">
        <v>350</v>
      </c>
      <c r="C229" s="9" t="s">
        <v>41</v>
      </c>
      <c r="D229" s="9" t="s">
        <v>134</v>
      </c>
      <c r="E229" s="9" t="s">
        <v>837</v>
      </c>
      <c r="F229" s="9" t="s">
        <v>366</v>
      </c>
      <c r="G229" s="10" t="s">
        <v>77</v>
      </c>
      <c r="H229" s="10" t="s">
        <v>91</v>
      </c>
      <c r="I229" s="11" t="n">
        <v>8</v>
      </c>
      <c r="J229" s="9" t="s">
        <v>356</v>
      </c>
      <c r="K229" s="10" t="s">
        <v>341</v>
      </c>
      <c r="L229" s="10" t="s">
        <v>138</v>
      </c>
      <c r="M229" s="10" t="s">
        <v>136</v>
      </c>
      <c r="N229" s="15"/>
      <c r="O229" s="10"/>
    </row>
    <row r="230" customFormat="false" ht="15" hidden="false" customHeight="false" outlineLevel="0" collapsed="false">
      <c r="A230" s="9" t="s">
        <v>838</v>
      </c>
      <c r="B230" s="10" t="s">
        <v>350</v>
      </c>
      <c r="C230" s="9" t="s">
        <v>41</v>
      </c>
      <c r="D230" s="9" t="s">
        <v>134</v>
      </c>
      <c r="E230" s="9" t="s">
        <v>839</v>
      </c>
      <c r="F230" s="9" t="s">
        <v>339</v>
      </c>
      <c r="G230" s="10" t="s">
        <v>78</v>
      </c>
      <c r="H230" s="10" t="s">
        <v>91</v>
      </c>
      <c r="I230" s="11" t="n">
        <v>1</v>
      </c>
      <c r="J230" s="9" t="s">
        <v>340</v>
      </c>
      <c r="K230" s="10" t="s">
        <v>367</v>
      </c>
      <c r="L230" s="10" t="s">
        <v>138</v>
      </c>
      <c r="M230" s="10" t="s">
        <v>136</v>
      </c>
      <c r="N230" s="15"/>
      <c r="O230" s="10"/>
    </row>
    <row r="231" customFormat="false" ht="29.85" hidden="false" customHeight="false" outlineLevel="0" collapsed="false">
      <c r="A231" s="9" t="s">
        <v>840</v>
      </c>
      <c r="B231" s="10" t="s">
        <v>350</v>
      </c>
      <c r="C231" s="9" t="s">
        <v>41</v>
      </c>
      <c r="D231" s="9" t="s">
        <v>139</v>
      </c>
      <c r="E231" s="9" t="s">
        <v>841</v>
      </c>
      <c r="F231" s="9" t="s">
        <v>842</v>
      </c>
      <c r="G231" s="10" t="s">
        <v>77</v>
      </c>
      <c r="H231" s="10" t="s">
        <v>97</v>
      </c>
      <c r="I231" s="11" t="n">
        <v>3</v>
      </c>
      <c r="J231" s="9" t="s">
        <v>843</v>
      </c>
      <c r="K231" s="10" t="s">
        <v>341</v>
      </c>
      <c r="L231" s="10" t="s">
        <v>142</v>
      </c>
      <c r="M231" s="10" t="s">
        <v>136</v>
      </c>
      <c r="N231" s="15"/>
      <c r="O231" s="10"/>
    </row>
    <row r="232" customFormat="false" ht="15" hidden="false" customHeight="false" outlineLevel="0" collapsed="false">
      <c r="A232" s="9" t="s">
        <v>844</v>
      </c>
      <c r="B232" s="10" t="s">
        <v>350</v>
      </c>
      <c r="C232" s="9" t="s">
        <v>41</v>
      </c>
      <c r="D232" s="9" t="s">
        <v>139</v>
      </c>
      <c r="E232" s="9" t="s">
        <v>845</v>
      </c>
      <c r="F232" s="9" t="s">
        <v>846</v>
      </c>
      <c r="G232" s="10" t="s">
        <v>79</v>
      </c>
      <c r="H232" s="10" t="s">
        <v>97</v>
      </c>
      <c r="I232" s="11" t="n">
        <v>3</v>
      </c>
      <c r="J232" s="9" t="s">
        <v>843</v>
      </c>
      <c r="K232" s="10" t="s">
        <v>352</v>
      </c>
      <c r="L232" s="10" t="s">
        <v>142</v>
      </c>
      <c r="M232" s="10" t="s">
        <v>136</v>
      </c>
      <c r="N232" s="15"/>
      <c r="O232" s="10"/>
    </row>
    <row r="233" customFormat="false" ht="29.85" hidden="false" customHeight="false" outlineLevel="0" collapsed="false">
      <c r="A233" s="9" t="s">
        <v>847</v>
      </c>
      <c r="B233" s="10" t="s">
        <v>350</v>
      </c>
      <c r="C233" s="9" t="s">
        <v>41</v>
      </c>
      <c r="D233" s="9" t="s">
        <v>143</v>
      </c>
      <c r="E233" s="9" t="s">
        <v>848</v>
      </c>
      <c r="F233" s="9" t="s">
        <v>339</v>
      </c>
      <c r="G233" s="10" t="s">
        <v>77</v>
      </c>
      <c r="H233" s="10" t="s">
        <v>131</v>
      </c>
      <c r="I233" s="11" t="n">
        <v>1</v>
      </c>
      <c r="J233" s="9" t="s">
        <v>340</v>
      </c>
      <c r="K233" s="10" t="s">
        <v>341</v>
      </c>
      <c r="L233" s="10" t="s">
        <v>147</v>
      </c>
      <c r="M233" s="10" t="s">
        <v>145</v>
      </c>
      <c r="N233" s="15"/>
      <c r="O233" s="10"/>
    </row>
    <row r="234" customFormat="false" ht="15" hidden="false" customHeight="false" outlineLevel="0" collapsed="false">
      <c r="A234" s="9" t="s">
        <v>849</v>
      </c>
      <c r="B234" s="10" t="s">
        <v>350</v>
      </c>
      <c r="C234" s="9" t="s">
        <v>41</v>
      </c>
      <c r="D234" s="9" t="s">
        <v>143</v>
      </c>
      <c r="E234" s="9" t="s">
        <v>850</v>
      </c>
      <c r="F234" s="9" t="s">
        <v>339</v>
      </c>
      <c r="G234" s="10" t="s">
        <v>76</v>
      </c>
      <c r="H234" s="10" t="s">
        <v>131</v>
      </c>
      <c r="I234" s="11" t="n">
        <v>1</v>
      </c>
      <c r="J234" s="9" t="s">
        <v>340</v>
      </c>
      <c r="K234" s="10" t="s">
        <v>348</v>
      </c>
      <c r="L234" s="10" t="s">
        <v>147</v>
      </c>
      <c r="M234" s="10" t="s">
        <v>145</v>
      </c>
      <c r="N234" s="15"/>
      <c r="O234" s="10"/>
    </row>
    <row r="235" customFormat="false" ht="15" hidden="false" customHeight="false" outlineLevel="0" collapsed="false">
      <c r="A235" s="9" t="s">
        <v>851</v>
      </c>
      <c r="B235" s="10" t="s">
        <v>350</v>
      </c>
      <c r="C235" s="9" t="s">
        <v>43</v>
      </c>
      <c r="D235" s="9" t="s">
        <v>148</v>
      </c>
      <c r="E235" s="9" t="s">
        <v>852</v>
      </c>
      <c r="F235" s="9" t="s">
        <v>483</v>
      </c>
      <c r="G235" s="10" t="s">
        <v>78</v>
      </c>
      <c r="H235" s="10" t="s">
        <v>131</v>
      </c>
      <c r="I235" s="11" t="n">
        <v>4</v>
      </c>
      <c r="J235" s="9" t="s">
        <v>356</v>
      </c>
      <c r="K235" s="10" t="s">
        <v>367</v>
      </c>
      <c r="L235" s="10" t="s">
        <v>152</v>
      </c>
      <c r="M235" s="10" t="s">
        <v>150</v>
      </c>
      <c r="N235" s="15"/>
      <c r="O235" s="10"/>
    </row>
    <row r="236" customFormat="false" ht="29.85" hidden="false" customHeight="false" outlineLevel="0" collapsed="false">
      <c r="A236" s="9" t="s">
        <v>853</v>
      </c>
      <c r="B236" s="10" t="s">
        <v>350</v>
      </c>
      <c r="C236" s="9" t="s">
        <v>43</v>
      </c>
      <c r="D236" s="9" t="s">
        <v>148</v>
      </c>
      <c r="E236" s="9" t="s">
        <v>854</v>
      </c>
      <c r="F236" s="9" t="s">
        <v>855</v>
      </c>
      <c r="G236" s="10" t="s">
        <v>77</v>
      </c>
      <c r="H236" s="10" t="s">
        <v>131</v>
      </c>
      <c r="I236" s="11" t="n">
        <v>4</v>
      </c>
      <c r="J236" s="9" t="s">
        <v>356</v>
      </c>
      <c r="K236" s="10" t="s">
        <v>341</v>
      </c>
      <c r="L236" s="10" t="s">
        <v>152</v>
      </c>
      <c r="M236" s="10" t="s">
        <v>150</v>
      </c>
      <c r="N236" s="15"/>
      <c r="O236" s="10"/>
    </row>
    <row r="237" customFormat="false" ht="15" hidden="false" customHeight="false" outlineLevel="0" collapsed="false">
      <c r="A237" s="9" t="s">
        <v>856</v>
      </c>
      <c r="B237" s="10" t="s">
        <v>350</v>
      </c>
      <c r="C237" s="9" t="s">
        <v>43</v>
      </c>
      <c r="D237" s="9" t="s">
        <v>153</v>
      </c>
      <c r="E237" s="9" t="s">
        <v>857</v>
      </c>
      <c r="F237" s="9" t="s">
        <v>858</v>
      </c>
      <c r="G237" s="10" t="s">
        <v>79</v>
      </c>
      <c r="H237" s="10" t="s">
        <v>91</v>
      </c>
      <c r="I237" s="11" t="n">
        <v>6</v>
      </c>
      <c r="J237" s="9" t="s">
        <v>340</v>
      </c>
      <c r="K237" s="10" t="s">
        <v>352</v>
      </c>
      <c r="L237" s="10" t="s">
        <v>157</v>
      </c>
      <c r="M237" s="10" t="s">
        <v>155</v>
      </c>
      <c r="N237" s="15"/>
      <c r="O237" s="10"/>
    </row>
    <row r="238" customFormat="false" ht="15" hidden="false" customHeight="false" outlineLevel="0" collapsed="false">
      <c r="A238" s="9" t="s">
        <v>859</v>
      </c>
      <c r="B238" s="10" t="s">
        <v>350</v>
      </c>
      <c r="C238" s="9" t="s">
        <v>43</v>
      </c>
      <c r="D238" s="9" t="s">
        <v>153</v>
      </c>
      <c r="E238" s="9" t="s">
        <v>860</v>
      </c>
      <c r="F238" s="9" t="s">
        <v>339</v>
      </c>
      <c r="G238" s="10" t="s">
        <v>76</v>
      </c>
      <c r="H238" s="10" t="s">
        <v>91</v>
      </c>
      <c r="I238" s="11" t="n">
        <v>1</v>
      </c>
      <c r="J238" s="9" t="s">
        <v>340</v>
      </c>
      <c r="K238" s="10" t="s">
        <v>348</v>
      </c>
      <c r="L238" s="10" t="s">
        <v>157</v>
      </c>
      <c r="M238" s="10" t="s">
        <v>155</v>
      </c>
      <c r="N238" s="15"/>
      <c r="O238" s="10"/>
    </row>
    <row r="239" customFormat="false" ht="29.85" hidden="false" customHeight="false" outlineLevel="0" collapsed="false">
      <c r="A239" s="9" t="s">
        <v>861</v>
      </c>
      <c r="B239" s="10" t="s">
        <v>350</v>
      </c>
      <c r="C239" s="9" t="s">
        <v>43</v>
      </c>
      <c r="D239" s="9" t="s">
        <v>158</v>
      </c>
      <c r="E239" s="9" t="s">
        <v>862</v>
      </c>
      <c r="F239" s="9" t="s">
        <v>339</v>
      </c>
      <c r="G239" s="10" t="s">
        <v>77</v>
      </c>
      <c r="H239" s="10" t="s">
        <v>131</v>
      </c>
      <c r="I239" s="11" t="n">
        <v>1</v>
      </c>
      <c r="J239" s="9" t="s">
        <v>340</v>
      </c>
      <c r="K239" s="10" t="s">
        <v>341</v>
      </c>
      <c r="L239" s="10" t="s">
        <v>162</v>
      </c>
      <c r="M239" s="10" t="s">
        <v>160</v>
      </c>
      <c r="N239" s="15"/>
      <c r="O239" s="10"/>
    </row>
    <row r="240" customFormat="false" ht="15" hidden="false" customHeight="false" outlineLevel="0" collapsed="false">
      <c r="A240" s="9" t="s">
        <v>863</v>
      </c>
      <c r="B240" s="10" t="s">
        <v>350</v>
      </c>
      <c r="C240" s="9" t="s">
        <v>43</v>
      </c>
      <c r="D240" s="9" t="s">
        <v>158</v>
      </c>
      <c r="E240" s="9" t="s">
        <v>864</v>
      </c>
      <c r="F240" s="9" t="s">
        <v>339</v>
      </c>
      <c r="G240" s="10" t="s">
        <v>76</v>
      </c>
      <c r="H240" s="10" t="s">
        <v>131</v>
      </c>
      <c r="I240" s="11" t="n">
        <v>1</v>
      </c>
      <c r="J240" s="9" t="s">
        <v>340</v>
      </c>
      <c r="K240" s="10" t="s">
        <v>348</v>
      </c>
      <c r="L240" s="10" t="s">
        <v>162</v>
      </c>
      <c r="M240" s="10" t="s">
        <v>160</v>
      </c>
      <c r="N240" s="15"/>
      <c r="O240" s="10"/>
    </row>
    <row r="241" customFormat="false" ht="29.85" hidden="false" customHeight="false" outlineLevel="0" collapsed="false">
      <c r="A241" s="9" t="s">
        <v>865</v>
      </c>
      <c r="B241" s="10" t="s">
        <v>350</v>
      </c>
      <c r="C241" s="9" t="s">
        <v>43</v>
      </c>
      <c r="D241" s="9" t="s">
        <v>163</v>
      </c>
      <c r="E241" s="9" t="s">
        <v>866</v>
      </c>
      <c r="F241" s="9" t="s">
        <v>339</v>
      </c>
      <c r="G241" s="10" t="s">
        <v>77</v>
      </c>
      <c r="H241" s="10" t="s">
        <v>131</v>
      </c>
      <c r="I241" s="11" t="n">
        <v>1</v>
      </c>
      <c r="J241" s="9" t="s">
        <v>340</v>
      </c>
      <c r="K241" s="10" t="s">
        <v>341</v>
      </c>
      <c r="L241" s="10" t="s">
        <v>167</v>
      </c>
      <c r="M241" s="10" t="s">
        <v>165</v>
      </c>
      <c r="N241" s="15"/>
      <c r="O241" s="10"/>
    </row>
    <row r="242" customFormat="false" ht="29.85" hidden="false" customHeight="false" outlineLevel="0" collapsed="false">
      <c r="A242" s="9" t="s">
        <v>867</v>
      </c>
      <c r="B242" s="10" t="s">
        <v>350</v>
      </c>
      <c r="C242" s="9" t="s">
        <v>43</v>
      </c>
      <c r="D242" s="9" t="s">
        <v>163</v>
      </c>
      <c r="E242" s="9" t="s">
        <v>868</v>
      </c>
      <c r="F242" s="9" t="s">
        <v>339</v>
      </c>
      <c r="G242" s="10" t="s">
        <v>77</v>
      </c>
      <c r="H242" s="10" t="s">
        <v>131</v>
      </c>
      <c r="I242" s="11" t="n">
        <v>1</v>
      </c>
      <c r="J242" s="9" t="s">
        <v>340</v>
      </c>
      <c r="K242" s="10" t="s">
        <v>341</v>
      </c>
      <c r="L242" s="10" t="s">
        <v>167</v>
      </c>
      <c r="M242" s="10" t="s">
        <v>165</v>
      </c>
      <c r="N242" s="15"/>
      <c r="O242" s="10"/>
    </row>
    <row r="243" customFormat="false" ht="29.85" hidden="false" customHeight="false" outlineLevel="0" collapsed="false">
      <c r="A243" s="9" t="s">
        <v>869</v>
      </c>
      <c r="B243" s="10" t="s">
        <v>350</v>
      </c>
      <c r="C243" s="9" t="s">
        <v>45</v>
      </c>
      <c r="D243" s="9" t="s">
        <v>168</v>
      </c>
      <c r="E243" s="9" t="s">
        <v>870</v>
      </c>
      <c r="F243" s="9" t="s">
        <v>871</v>
      </c>
      <c r="G243" s="10" t="s">
        <v>77</v>
      </c>
      <c r="H243" s="10" t="s">
        <v>131</v>
      </c>
      <c r="I243" s="11" t="n">
        <v>5</v>
      </c>
      <c r="J243" s="9" t="s">
        <v>340</v>
      </c>
      <c r="K243" s="10" t="s">
        <v>341</v>
      </c>
      <c r="L243" s="10" t="s">
        <v>172</v>
      </c>
      <c r="M243" s="10" t="s">
        <v>170</v>
      </c>
      <c r="N243" s="15"/>
      <c r="O243" s="10"/>
    </row>
    <row r="244" customFormat="false" ht="15" hidden="false" customHeight="false" outlineLevel="0" collapsed="false">
      <c r="A244" s="9" t="s">
        <v>872</v>
      </c>
      <c r="B244" s="10" t="s">
        <v>350</v>
      </c>
      <c r="C244" s="9" t="s">
        <v>45</v>
      </c>
      <c r="D244" s="9" t="s">
        <v>168</v>
      </c>
      <c r="E244" s="9" t="s">
        <v>873</v>
      </c>
      <c r="F244" s="9" t="s">
        <v>871</v>
      </c>
      <c r="G244" s="10" t="s">
        <v>79</v>
      </c>
      <c r="H244" s="10" t="s">
        <v>131</v>
      </c>
      <c r="I244" s="11" t="n">
        <v>5</v>
      </c>
      <c r="J244" s="9" t="s">
        <v>340</v>
      </c>
      <c r="K244" s="10" t="s">
        <v>352</v>
      </c>
      <c r="L244" s="10" t="s">
        <v>172</v>
      </c>
      <c r="M244" s="10" t="s">
        <v>170</v>
      </c>
      <c r="N244" s="15"/>
      <c r="O244" s="10"/>
    </row>
    <row r="245" customFormat="false" ht="15" hidden="false" customHeight="false" outlineLevel="0" collapsed="false">
      <c r="A245" s="9" t="s">
        <v>874</v>
      </c>
      <c r="B245" s="10" t="s">
        <v>350</v>
      </c>
      <c r="C245" s="9" t="s">
        <v>45</v>
      </c>
      <c r="D245" s="9" t="s">
        <v>173</v>
      </c>
      <c r="E245" s="9" t="s">
        <v>875</v>
      </c>
      <c r="F245" s="9" t="s">
        <v>339</v>
      </c>
      <c r="G245" s="10" t="s">
        <v>79</v>
      </c>
      <c r="H245" s="10" t="s">
        <v>131</v>
      </c>
      <c r="I245" s="11" t="n">
        <v>1</v>
      </c>
      <c r="J245" s="9" t="s">
        <v>340</v>
      </c>
      <c r="K245" s="10" t="s">
        <v>352</v>
      </c>
      <c r="L245" s="10" t="s">
        <v>172</v>
      </c>
      <c r="M245" s="10" t="s">
        <v>175</v>
      </c>
      <c r="N245" s="15"/>
      <c r="O245" s="10"/>
    </row>
    <row r="246" customFormat="false" ht="15" hidden="false" customHeight="false" outlineLevel="0" collapsed="false">
      <c r="A246" s="9" t="s">
        <v>876</v>
      </c>
      <c r="B246" s="10" t="s">
        <v>350</v>
      </c>
      <c r="C246" s="9" t="s">
        <v>45</v>
      </c>
      <c r="D246" s="9" t="s">
        <v>173</v>
      </c>
      <c r="E246" s="9" t="s">
        <v>877</v>
      </c>
      <c r="F246" s="9" t="s">
        <v>339</v>
      </c>
      <c r="G246" s="10" t="s">
        <v>76</v>
      </c>
      <c r="H246" s="10" t="s">
        <v>131</v>
      </c>
      <c r="I246" s="11" t="n">
        <v>1</v>
      </c>
      <c r="J246" s="9" t="s">
        <v>340</v>
      </c>
      <c r="K246" s="10" t="s">
        <v>348</v>
      </c>
      <c r="L246" s="10" t="s">
        <v>172</v>
      </c>
      <c r="M246" s="10" t="s">
        <v>175</v>
      </c>
      <c r="N246" s="15"/>
      <c r="O246" s="10"/>
    </row>
    <row r="247" customFormat="false" ht="15" hidden="false" customHeight="false" outlineLevel="0" collapsed="false">
      <c r="A247" s="9" t="s">
        <v>878</v>
      </c>
      <c r="B247" s="10" t="s">
        <v>350</v>
      </c>
      <c r="C247" s="9" t="s">
        <v>45</v>
      </c>
      <c r="D247" s="9" t="s">
        <v>177</v>
      </c>
      <c r="E247" s="9" t="s">
        <v>879</v>
      </c>
      <c r="F247" s="9" t="s">
        <v>339</v>
      </c>
      <c r="G247" s="10" t="s">
        <v>79</v>
      </c>
      <c r="H247" s="10" t="s">
        <v>91</v>
      </c>
      <c r="I247" s="11" t="n">
        <v>1</v>
      </c>
      <c r="J247" s="9" t="s">
        <v>340</v>
      </c>
      <c r="K247" s="10" t="s">
        <v>352</v>
      </c>
      <c r="L247" s="10" t="s">
        <v>181</v>
      </c>
      <c r="M247" s="10" t="s">
        <v>179</v>
      </c>
      <c r="N247" s="15"/>
      <c r="O247" s="10"/>
    </row>
    <row r="248" customFormat="false" ht="29.85" hidden="false" customHeight="false" outlineLevel="0" collapsed="false">
      <c r="A248" s="9" t="s">
        <v>880</v>
      </c>
      <c r="B248" s="10" t="s">
        <v>350</v>
      </c>
      <c r="C248" s="9" t="s">
        <v>45</v>
      </c>
      <c r="D248" s="9" t="s">
        <v>177</v>
      </c>
      <c r="E248" s="9" t="s">
        <v>881</v>
      </c>
      <c r="F248" s="9" t="s">
        <v>339</v>
      </c>
      <c r="G248" s="10" t="s">
        <v>77</v>
      </c>
      <c r="H248" s="10" t="s">
        <v>91</v>
      </c>
      <c r="I248" s="11" t="n">
        <v>1</v>
      </c>
      <c r="J248" s="9" t="s">
        <v>340</v>
      </c>
      <c r="K248" s="10" t="s">
        <v>341</v>
      </c>
      <c r="L248" s="10" t="s">
        <v>181</v>
      </c>
      <c r="M248" s="10" t="s">
        <v>179</v>
      </c>
      <c r="N248" s="15"/>
      <c r="O248" s="10"/>
    </row>
    <row r="249" customFormat="false" ht="29.85" hidden="false" customHeight="false" outlineLevel="0" collapsed="false">
      <c r="A249" s="9" t="s">
        <v>882</v>
      </c>
      <c r="B249" s="10" t="s">
        <v>350</v>
      </c>
      <c r="C249" s="9" t="s">
        <v>45</v>
      </c>
      <c r="D249" s="9" t="s">
        <v>182</v>
      </c>
      <c r="E249" s="9" t="s">
        <v>883</v>
      </c>
      <c r="F249" s="9" t="s">
        <v>339</v>
      </c>
      <c r="G249" s="10" t="s">
        <v>77</v>
      </c>
      <c r="H249" s="10" t="s">
        <v>131</v>
      </c>
      <c r="I249" s="11" t="n">
        <v>1</v>
      </c>
      <c r="J249" s="9" t="s">
        <v>340</v>
      </c>
      <c r="K249" s="10" t="s">
        <v>341</v>
      </c>
      <c r="L249" s="10" t="s">
        <v>172</v>
      </c>
      <c r="M249" s="10" t="s">
        <v>184</v>
      </c>
      <c r="N249" s="15"/>
      <c r="O249" s="10"/>
    </row>
    <row r="250" customFormat="false" ht="15" hidden="false" customHeight="false" outlineLevel="0" collapsed="false">
      <c r="A250" s="9" t="s">
        <v>884</v>
      </c>
      <c r="B250" s="10" t="s">
        <v>350</v>
      </c>
      <c r="C250" s="9" t="s">
        <v>45</v>
      </c>
      <c r="D250" s="9" t="s">
        <v>182</v>
      </c>
      <c r="E250" s="9" t="s">
        <v>885</v>
      </c>
      <c r="F250" s="9" t="s">
        <v>339</v>
      </c>
      <c r="G250" s="10" t="s">
        <v>76</v>
      </c>
      <c r="H250" s="10" t="s">
        <v>91</v>
      </c>
      <c r="I250" s="11" t="n">
        <v>1</v>
      </c>
      <c r="J250" s="9" t="s">
        <v>340</v>
      </c>
      <c r="K250" s="10" t="s">
        <v>348</v>
      </c>
      <c r="L250" s="10" t="s">
        <v>172</v>
      </c>
      <c r="M250" s="10" t="s">
        <v>184</v>
      </c>
      <c r="N250" s="15"/>
      <c r="O250" s="10"/>
    </row>
    <row r="251" customFormat="false" ht="15" hidden="false" customHeight="false" outlineLevel="0" collapsed="false">
      <c r="A251" s="9" t="s">
        <v>886</v>
      </c>
      <c r="B251" s="10" t="s">
        <v>350</v>
      </c>
      <c r="C251" s="9" t="s">
        <v>47</v>
      </c>
      <c r="D251" s="9" t="s">
        <v>186</v>
      </c>
      <c r="E251" s="9" t="s">
        <v>887</v>
      </c>
      <c r="F251" s="9" t="s">
        <v>888</v>
      </c>
      <c r="G251" s="10" t="s">
        <v>76</v>
      </c>
      <c r="H251" s="10" t="s">
        <v>91</v>
      </c>
      <c r="I251" s="11" t="n">
        <v>5</v>
      </c>
      <c r="J251" s="9" t="s">
        <v>340</v>
      </c>
      <c r="K251" s="10" t="s">
        <v>348</v>
      </c>
      <c r="L251" s="10" t="s">
        <v>190</v>
      </c>
      <c r="M251" s="10" t="s">
        <v>188</v>
      </c>
      <c r="N251" s="15"/>
      <c r="O251" s="10"/>
    </row>
    <row r="252" customFormat="false" ht="15" hidden="false" customHeight="false" outlineLevel="0" collapsed="false">
      <c r="A252" s="9" t="s">
        <v>889</v>
      </c>
      <c r="B252" s="10" t="s">
        <v>350</v>
      </c>
      <c r="C252" s="9" t="s">
        <v>47</v>
      </c>
      <c r="D252" s="9" t="s">
        <v>186</v>
      </c>
      <c r="E252" s="9" t="s">
        <v>890</v>
      </c>
      <c r="F252" s="9" t="s">
        <v>339</v>
      </c>
      <c r="G252" s="10" t="s">
        <v>76</v>
      </c>
      <c r="H252" s="10" t="s">
        <v>91</v>
      </c>
      <c r="I252" s="11" t="n">
        <v>1</v>
      </c>
      <c r="J252" s="9" t="s">
        <v>340</v>
      </c>
      <c r="K252" s="10" t="s">
        <v>348</v>
      </c>
      <c r="L252" s="10" t="s">
        <v>190</v>
      </c>
      <c r="M252" s="10" t="s">
        <v>188</v>
      </c>
      <c r="N252" s="15"/>
      <c r="O252" s="10"/>
    </row>
    <row r="253" customFormat="false" ht="15" hidden="false" customHeight="false" outlineLevel="0" collapsed="false">
      <c r="A253" s="9" t="s">
        <v>891</v>
      </c>
      <c r="B253" s="10" t="s">
        <v>350</v>
      </c>
      <c r="C253" s="9" t="s">
        <v>47</v>
      </c>
      <c r="D253" s="9" t="s">
        <v>191</v>
      </c>
      <c r="E253" s="9" t="s">
        <v>892</v>
      </c>
      <c r="F253" s="9" t="s">
        <v>893</v>
      </c>
      <c r="G253" s="10" t="s">
        <v>79</v>
      </c>
      <c r="H253" s="10" t="s">
        <v>91</v>
      </c>
      <c r="I253" s="11" t="n">
        <v>3</v>
      </c>
      <c r="J253" s="9" t="s">
        <v>340</v>
      </c>
      <c r="K253" s="10" t="s">
        <v>352</v>
      </c>
      <c r="L253" s="10" t="s">
        <v>195</v>
      </c>
      <c r="M253" s="10" t="s">
        <v>193</v>
      </c>
      <c r="N253" s="15"/>
      <c r="O253" s="10"/>
    </row>
    <row r="254" customFormat="false" ht="29.85" hidden="false" customHeight="false" outlineLevel="0" collapsed="false">
      <c r="A254" s="9" t="s">
        <v>894</v>
      </c>
      <c r="B254" s="10" t="s">
        <v>350</v>
      </c>
      <c r="C254" s="9" t="s">
        <v>47</v>
      </c>
      <c r="D254" s="9" t="s">
        <v>191</v>
      </c>
      <c r="E254" s="9" t="s">
        <v>895</v>
      </c>
      <c r="F254" s="9" t="s">
        <v>339</v>
      </c>
      <c r="G254" s="10" t="s">
        <v>75</v>
      </c>
      <c r="H254" s="10" t="s">
        <v>91</v>
      </c>
      <c r="I254" s="11" t="n">
        <v>1</v>
      </c>
      <c r="J254" s="9" t="s">
        <v>340</v>
      </c>
      <c r="K254" s="10" t="s">
        <v>344</v>
      </c>
      <c r="L254" s="10" t="s">
        <v>195</v>
      </c>
      <c r="M254" s="10" t="s">
        <v>193</v>
      </c>
      <c r="N254" s="15"/>
      <c r="O254" s="10"/>
    </row>
    <row r="255" customFormat="false" ht="15" hidden="false" customHeight="false" outlineLevel="0" collapsed="false">
      <c r="A255" s="9" t="s">
        <v>896</v>
      </c>
      <c r="B255" s="10" t="s">
        <v>350</v>
      </c>
      <c r="C255" s="9" t="s">
        <v>47</v>
      </c>
      <c r="D255" s="9" t="s">
        <v>196</v>
      </c>
      <c r="E255" s="9" t="s">
        <v>897</v>
      </c>
      <c r="F255" s="9" t="s">
        <v>339</v>
      </c>
      <c r="G255" s="10" t="s">
        <v>78</v>
      </c>
      <c r="H255" s="10" t="s">
        <v>91</v>
      </c>
      <c r="I255" s="11" t="n">
        <v>1</v>
      </c>
      <c r="J255" s="9" t="s">
        <v>340</v>
      </c>
      <c r="K255" s="10" t="s">
        <v>367</v>
      </c>
      <c r="L255" s="10" t="s">
        <v>200</v>
      </c>
      <c r="M255" s="10" t="s">
        <v>198</v>
      </c>
      <c r="N255" s="15"/>
      <c r="O255" s="10"/>
    </row>
    <row r="256" customFormat="false" ht="15" hidden="false" customHeight="false" outlineLevel="0" collapsed="false">
      <c r="A256" s="9" t="s">
        <v>898</v>
      </c>
      <c r="B256" s="10" t="s">
        <v>350</v>
      </c>
      <c r="C256" s="9" t="s">
        <v>47</v>
      </c>
      <c r="D256" s="9" t="s">
        <v>196</v>
      </c>
      <c r="E256" s="9" t="s">
        <v>899</v>
      </c>
      <c r="F256" s="9" t="s">
        <v>339</v>
      </c>
      <c r="G256" s="10" t="s">
        <v>79</v>
      </c>
      <c r="H256" s="10" t="s">
        <v>131</v>
      </c>
      <c r="I256" s="11" t="n">
        <v>1</v>
      </c>
      <c r="J256" s="9" t="s">
        <v>340</v>
      </c>
      <c r="K256" s="10" t="s">
        <v>352</v>
      </c>
      <c r="L256" s="10" t="s">
        <v>200</v>
      </c>
      <c r="M256" s="10" t="s">
        <v>198</v>
      </c>
      <c r="N256" s="15"/>
      <c r="O256" s="10"/>
    </row>
    <row r="257" customFormat="false" ht="29.85" hidden="false" customHeight="false" outlineLevel="0" collapsed="false">
      <c r="A257" s="9" t="s">
        <v>900</v>
      </c>
      <c r="B257" s="10" t="s">
        <v>350</v>
      </c>
      <c r="C257" s="9" t="s">
        <v>47</v>
      </c>
      <c r="D257" s="9" t="s">
        <v>201</v>
      </c>
      <c r="E257" s="9" t="s">
        <v>901</v>
      </c>
      <c r="F257" s="9" t="s">
        <v>339</v>
      </c>
      <c r="G257" s="10" t="s">
        <v>77</v>
      </c>
      <c r="H257" s="10" t="s">
        <v>91</v>
      </c>
      <c r="I257" s="11" t="n">
        <v>1</v>
      </c>
      <c r="J257" s="9" t="s">
        <v>340</v>
      </c>
      <c r="K257" s="10" t="s">
        <v>341</v>
      </c>
      <c r="L257" s="10" t="s">
        <v>205</v>
      </c>
      <c r="M257" s="10" t="s">
        <v>203</v>
      </c>
      <c r="N257" s="15"/>
      <c r="O257" s="10"/>
    </row>
    <row r="258" customFormat="false" ht="15" hidden="false" customHeight="false" outlineLevel="0" collapsed="false">
      <c r="A258" s="9" t="s">
        <v>902</v>
      </c>
      <c r="B258" s="10" t="s">
        <v>350</v>
      </c>
      <c r="C258" s="9" t="s">
        <v>47</v>
      </c>
      <c r="D258" s="9" t="s">
        <v>201</v>
      </c>
      <c r="E258" s="9" t="s">
        <v>903</v>
      </c>
      <c r="F258" s="9" t="s">
        <v>339</v>
      </c>
      <c r="G258" s="10" t="s">
        <v>76</v>
      </c>
      <c r="H258" s="10" t="s">
        <v>91</v>
      </c>
      <c r="I258" s="11" t="n">
        <v>1</v>
      </c>
      <c r="J258" s="9" t="s">
        <v>340</v>
      </c>
      <c r="K258" s="10" t="s">
        <v>348</v>
      </c>
      <c r="L258" s="10" t="s">
        <v>205</v>
      </c>
      <c r="M258" s="10" t="s">
        <v>203</v>
      </c>
      <c r="N258" s="15"/>
      <c r="O258" s="10"/>
    </row>
    <row r="259" customFormat="false" ht="29.85" hidden="false" customHeight="false" outlineLevel="0" collapsed="false">
      <c r="A259" s="9" t="s">
        <v>904</v>
      </c>
      <c r="B259" s="10" t="s">
        <v>350</v>
      </c>
      <c r="C259" s="9" t="s">
        <v>49</v>
      </c>
      <c r="D259" s="9" t="s">
        <v>206</v>
      </c>
      <c r="E259" s="9" t="s">
        <v>905</v>
      </c>
      <c r="F259" s="9" t="s">
        <v>366</v>
      </c>
      <c r="G259" s="10" t="s">
        <v>77</v>
      </c>
      <c r="H259" s="10" t="s">
        <v>131</v>
      </c>
      <c r="I259" s="11" t="n">
        <v>8</v>
      </c>
      <c r="J259" s="9" t="s">
        <v>356</v>
      </c>
      <c r="K259" s="10" t="s">
        <v>341</v>
      </c>
      <c r="L259" s="10" t="s">
        <v>210</v>
      </c>
      <c r="M259" s="10" t="s">
        <v>208</v>
      </c>
      <c r="N259" s="15"/>
      <c r="O259" s="10"/>
    </row>
    <row r="260" customFormat="false" ht="15" hidden="false" customHeight="false" outlineLevel="0" collapsed="false">
      <c r="A260" s="9" t="s">
        <v>906</v>
      </c>
      <c r="B260" s="10" t="s">
        <v>350</v>
      </c>
      <c r="C260" s="9" t="s">
        <v>49</v>
      </c>
      <c r="D260" s="9" t="s">
        <v>206</v>
      </c>
      <c r="E260" s="9" t="s">
        <v>907</v>
      </c>
      <c r="F260" s="9" t="s">
        <v>339</v>
      </c>
      <c r="G260" s="10" t="s">
        <v>76</v>
      </c>
      <c r="H260" s="10" t="s">
        <v>131</v>
      </c>
      <c r="I260" s="11" t="n">
        <v>1</v>
      </c>
      <c r="J260" s="9" t="s">
        <v>340</v>
      </c>
      <c r="K260" s="10" t="s">
        <v>348</v>
      </c>
      <c r="L260" s="10" t="s">
        <v>210</v>
      </c>
      <c r="M260" s="10" t="s">
        <v>208</v>
      </c>
      <c r="N260" s="15"/>
      <c r="O260" s="10"/>
    </row>
    <row r="261" customFormat="false" ht="15" hidden="false" customHeight="false" outlineLevel="0" collapsed="false">
      <c r="A261" s="9" t="s">
        <v>908</v>
      </c>
      <c r="B261" s="10" t="s">
        <v>350</v>
      </c>
      <c r="C261" s="9" t="s">
        <v>49</v>
      </c>
      <c r="D261" s="9" t="s">
        <v>211</v>
      </c>
      <c r="E261" s="9" t="s">
        <v>909</v>
      </c>
      <c r="F261" s="9" t="s">
        <v>339</v>
      </c>
      <c r="G261" s="10" t="s">
        <v>78</v>
      </c>
      <c r="H261" s="10" t="s">
        <v>91</v>
      </c>
      <c r="I261" s="11" t="n">
        <v>1</v>
      </c>
      <c r="J261" s="9" t="s">
        <v>340</v>
      </c>
      <c r="K261" s="10" t="s">
        <v>367</v>
      </c>
      <c r="L261" s="10" t="s">
        <v>215</v>
      </c>
      <c r="M261" s="10" t="s">
        <v>213</v>
      </c>
      <c r="N261" s="15"/>
      <c r="O261" s="10"/>
    </row>
    <row r="262" customFormat="false" ht="29.85" hidden="false" customHeight="false" outlineLevel="0" collapsed="false">
      <c r="A262" s="9" t="s">
        <v>910</v>
      </c>
      <c r="B262" s="10" t="s">
        <v>350</v>
      </c>
      <c r="C262" s="9" t="s">
        <v>49</v>
      </c>
      <c r="D262" s="9" t="s">
        <v>211</v>
      </c>
      <c r="E262" s="9" t="s">
        <v>911</v>
      </c>
      <c r="F262" s="9" t="s">
        <v>339</v>
      </c>
      <c r="G262" s="10" t="s">
        <v>75</v>
      </c>
      <c r="H262" s="10" t="s">
        <v>97</v>
      </c>
      <c r="I262" s="11" t="n">
        <v>1</v>
      </c>
      <c r="J262" s="9" t="s">
        <v>340</v>
      </c>
      <c r="K262" s="10" t="s">
        <v>344</v>
      </c>
      <c r="L262" s="10" t="s">
        <v>215</v>
      </c>
      <c r="M262" s="10" t="s">
        <v>213</v>
      </c>
      <c r="N262" s="15"/>
      <c r="O262" s="10"/>
    </row>
    <row r="263" customFormat="false" ht="29.85" hidden="false" customHeight="false" outlineLevel="0" collapsed="false">
      <c r="A263" s="9" t="s">
        <v>912</v>
      </c>
      <c r="B263" s="10" t="s">
        <v>350</v>
      </c>
      <c r="C263" s="9" t="s">
        <v>49</v>
      </c>
      <c r="D263" s="9" t="s">
        <v>216</v>
      </c>
      <c r="E263" s="9" t="s">
        <v>913</v>
      </c>
      <c r="F263" s="9" t="s">
        <v>339</v>
      </c>
      <c r="G263" s="10" t="s">
        <v>75</v>
      </c>
      <c r="H263" s="10" t="s">
        <v>91</v>
      </c>
      <c r="I263" s="11" t="n">
        <v>1</v>
      </c>
      <c r="J263" s="9" t="s">
        <v>340</v>
      </c>
      <c r="K263" s="10" t="s">
        <v>344</v>
      </c>
      <c r="L263" s="10" t="s">
        <v>220</v>
      </c>
      <c r="M263" s="10" t="s">
        <v>218</v>
      </c>
      <c r="N263" s="15"/>
      <c r="O263" s="10"/>
    </row>
    <row r="264" customFormat="false" ht="15" hidden="false" customHeight="false" outlineLevel="0" collapsed="false">
      <c r="A264" s="9" t="s">
        <v>914</v>
      </c>
      <c r="B264" s="10" t="s">
        <v>350</v>
      </c>
      <c r="C264" s="9" t="s">
        <v>49</v>
      </c>
      <c r="D264" s="9" t="s">
        <v>216</v>
      </c>
      <c r="E264" s="9" t="s">
        <v>915</v>
      </c>
      <c r="F264" s="9" t="s">
        <v>339</v>
      </c>
      <c r="G264" s="10" t="s">
        <v>78</v>
      </c>
      <c r="H264" s="10" t="s">
        <v>91</v>
      </c>
      <c r="I264" s="11" t="n">
        <v>1</v>
      </c>
      <c r="J264" s="9" t="s">
        <v>340</v>
      </c>
      <c r="K264" s="10" t="s">
        <v>367</v>
      </c>
      <c r="L264" s="10" t="s">
        <v>220</v>
      </c>
      <c r="M264" s="10" t="s">
        <v>218</v>
      </c>
      <c r="N264" s="15"/>
      <c r="O264" s="10"/>
    </row>
    <row r="265" customFormat="false" ht="29.85" hidden="false" customHeight="false" outlineLevel="0" collapsed="false">
      <c r="A265" s="9" t="s">
        <v>916</v>
      </c>
      <c r="B265" s="10" t="s">
        <v>350</v>
      </c>
      <c r="C265" s="9" t="s">
        <v>49</v>
      </c>
      <c r="D265" s="9" t="s">
        <v>221</v>
      </c>
      <c r="E265" s="9" t="s">
        <v>917</v>
      </c>
      <c r="F265" s="9" t="s">
        <v>918</v>
      </c>
      <c r="G265" s="10" t="s">
        <v>75</v>
      </c>
      <c r="H265" s="10" t="s">
        <v>91</v>
      </c>
      <c r="I265" s="11" t="n">
        <v>5</v>
      </c>
      <c r="J265" s="9" t="s">
        <v>340</v>
      </c>
      <c r="K265" s="10" t="s">
        <v>344</v>
      </c>
      <c r="L265" s="10" t="s">
        <v>200</v>
      </c>
      <c r="M265" s="10" t="s">
        <v>223</v>
      </c>
      <c r="N265" s="15"/>
      <c r="O265" s="10"/>
    </row>
    <row r="266" customFormat="false" ht="15" hidden="false" customHeight="false" outlineLevel="0" collapsed="false">
      <c r="A266" s="9" t="s">
        <v>919</v>
      </c>
      <c r="B266" s="10" t="s">
        <v>350</v>
      </c>
      <c r="C266" s="9" t="s">
        <v>49</v>
      </c>
      <c r="D266" s="9" t="s">
        <v>221</v>
      </c>
      <c r="E266" s="9" t="s">
        <v>920</v>
      </c>
      <c r="F266" s="9" t="s">
        <v>339</v>
      </c>
      <c r="G266" s="10" t="s">
        <v>78</v>
      </c>
      <c r="H266" s="10" t="s">
        <v>131</v>
      </c>
      <c r="I266" s="11" t="n">
        <v>1</v>
      </c>
      <c r="J266" s="9" t="s">
        <v>340</v>
      </c>
      <c r="K266" s="10" t="s">
        <v>367</v>
      </c>
      <c r="L266" s="10" t="s">
        <v>200</v>
      </c>
      <c r="M266" s="10" t="s">
        <v>223</v>
      </c>
      <c r="N266" s="15"/>
      <c r="O266" s="10"/>
    </row>
    <row r="267" customFormat="false" ht="29.85" hidden="false" customHeight="false" outlineLevel="0" collapsed="false">
      <c r="A267" s="9" t="s">
        <v>921</v>
      </c>
      <c r="B267" s="10" t="s">
        <v>350</v>
      </c>
      <c r="C267" s="9" t="s">
        <v>51</v>
      </c>
      <c r="D267" s="9" t="s">
        <v>225</v>
      </c>
      <c r="E267" s="9" t="s">
        <v>922</v>
      </c>
      <c r="F267" s="9" t="s">
        <v>366</v>
      </c>
      <c r="G267" s="10" t="s">
        <v>77</v>
      </c>
      <c r="H267" s="10" t="s">
        <v>91</v>
      </c>
      <c r="I267" s="11" t="n">
        <v>8</v>
      </c>
      <c r="J267" s="9" t="s">
        <v>356</v>
      </c>
      <c r="K267" s="10" t="s">
        <v>341</v>
      </c>
      <c r="L267" s="10" t="s">
        <v>229</v>
      </c>
      <c r="M267" s="10" t="s">
        <v>227</v>
      </c>
      <c r="N267" s="15"/>
      <c r="O267" s="10"/>
    </row>
    <row r="268" customFormat="false" ht="15" hidden="false" customHeight="false" outlineLevel="0" collapsed="false">
      <c r="A268" s="9" t="s">
        <v>923</v>
      </c>
      <c r="B268" s="10" t="s">
        <v>350</v>
      </c>
      <c r="C268" s="9" t="s">
        <v>51</v>
      </c>
      <c r="D268" s="9" t="s">
        <v>225</v>
      </c>
      <c r="E268" s="9" t="s">
        <v>924</v>
      </c>
      <c r="F268" s="9" t="s">
        <v>339</v>
      </c>
      <c r="G268" s="10" t="s">
        <v>76</v>
      </c>
      <c r="H268" s="10" t="s">
        <v>91</v>
      </c>
      <c r="I268" s="11" t="n">
        <v>1</v>
      </c>
      <c r="J268" s="9" t="s">
        <v>340</v>
      </c>
      <c r="K268" s="10" t="s">
        <v>348</v>
      </c>
      <c r="L268" s="10" t="s">
        <v>229</v>
      </c>
      <c r="M268" s="10" t="s">
        <v>227</v>
      </c>
      <c r="N268" s="15"/>
      <c r="O268" s="10"/>
    </row>
    <row r="269" customFormat="false" ht="29.85" hidden="false" customHeight="false" outlineLevel="0" collapsed="false">
      <c r="A269" s="9" t="s">
        <v>925</v>
      </c>
      <c r="B269" s="10" t="s">
        <v>350</v>
      </c>
      <c r="C269" s="9" t="s">
        <v>51</v>
      </c>
      <c r="D269" s="9" t="s">
        <v>230</v>
      </c>
      <c r="E269" s="9" t="s">
        <v>926</v>
      </c>
      <c r="F269" s="9" t="s">
        <v>339</v>
      </c>
      <c r="G269" s="10" t="s">
        <v>77</v>
      </c>
      <c r="H269" s="10" t="s">
        <v>91</v>
      </c>
      <c r="I269" s="11" t="n">
        <v>1</v>
      </c>
      <c r="J269" s="9" t="s">
        <v>340</v>
      </c>
      <c r="K269" s="10" t="s">
        <v>341</v>
      </c>
      <c r="L269" s="10" t="s">
        <v>162</v>
      </c>
      <c r="M269" s="10" t="s">
        <v>232</v>
      </c>
      <c r="N269" s="15"/>
      <c r="O269" s="10"/>
    </row>
    <row r="270" customFormat="false" ht="15" hidden="false" customHeight="false" outlineLevel="0" collapsed="false">
      <c r="A270" s="9" t="s">
        <v>927</v>
      </c>
      <c r="B270" s="10" t="s">
        <v>350</v>
      </c>
      <c r="C270" s="9" t="s">
        <v>51</v>
      </c>
      <c r="D270" s="9" t="s">
        <v>230</v>
      </c>
      <c r="E270" s="9" t="s">
        <v>928</v>
      </c>
      <c r="F270" s="9" t="s">
        <v>339</v>
      </c>
      <c r="G270" s="10" t="s">
        <v>78</v>
      </c>
      <c r="H270" s="10" t="s">
        <v>91</v>
      </c>
      <c r="I270" s="11" t="n">
        <v>1</v>
      </c>
      <c r="J270" s="9" t="s">
        <v>340</v>
      </c>
      <c r="K270" s="10" t="s">
        <v>367</v>
      </c>
      <c r="L270" s="10" t="s">
        <v>162</v>
      </c>
      <c r="M270" s="10" t="s">
        <v>232</v>
      </c>
      <c r="N270" s="15"/>
      <c r="O270" s="10"/>
    </row>
    <row r="271" customFormat="false" ht="29.85" hidden="false" customHeight="false" outlineLevel="0" collapsed="false">
      <c r="A271" s="9" t="s">
        <v>929</v>
      </c>
      <c r="B271" s="10" t="s">
        <v>350</v>
      </c>
      <c r="C271" s="9" t="s">
        <v>51</v>
      </c>
      <c r="D271" s="9" t="s">
        <v>234</v>
      </c>
      <c r="E271" s="9" t="s">
        <v>930</v>
      </c>
      <c r="F271" s="9" t="s">
        <v>339</v>
      </c>
      <c r="G271" s="10" t="s">
        <v>77</v>
      </c>
      <c r="H271" s="10" t="s">
        <v>97</v>
      </c>
      <c r="I271" s="11" t="n">
        <v>1</v>
      </c>
      <c r="J271" s="9" t="s">
        <v>340</v>
      </c>
      <c r="K271" s="10" t="s">
        <v>341</v>
      </c>
      <c r="L271" s="10" t="s">
        <v>238</v>
      </c>
      <c r="M271" s="10" t="s">
        <v>236</v>
      </c>
      <c r="N271" s="15"/>
      <c r="O271" s="10"/>
    </row>
    <row r="272" customFormat="false" ht="29.85" hidden="false" customHeight="false" outlineLevel="0" collapsed="false">
      <c r="A272" s="9" t="s">
        <v>931</v>
      </c>
      <c r="B272" s="10" t="s">
        <v>350</v>
      </c>
      <c r="C272" s="9" t="s">
        <v>51</v>
      </c>
      <c r="D272" s="9" t="s">
        <v>234</v>
      </c>
      <c r="E272" s="9" t="s">
        <v>932</v>
      </c>
      <c r="F272" s="9" t="s">
        <v>339</v>
      </c>
      <c r="G272" s="10" t="s">
        <v>77</v>
      </c>
      <c r="H272" s="10" t="s">
        <v>97</v>
      </c>
      <c r="I272" s="11" t="n">
        <v>1</v>
      </c>
      <c r="J272" s="9" t="s">
        <v>340</v>
      </c>
      <c r="K272" s="10" t="s">
        <v>341</v>
      </c>
      <c r="L272" s="10" t="s">
        <v>238</v>
      </c>
      <c r="M272" s="10" t="s">
        <v>236</v>
      </c>
      <c r="N272" s="15"/>
      <c r="O272" s="10"/>
    </row>
    <row r="273" customFormat="false" ht="15" hidden="false" customHeight="false" outlineLevel="0" collapsed="false">
      <c r="A273" s="9" t="s">
        <v>933</v>
      </c>
      <c r="B273" s="10" t="s">
        <v>350</v>
      </c>
      <c r="C273" s="9" t="s">
        <v>51</v>
      </c>
      <c r="D273" s="9" t="s">
        <v>239</v>
      </c>
      <c r="E273" s="9" t="s">
        <v>934</v>
      </c>
      <c r="F273" s="9" t="s">
        <v>339</v>
      </c>
      <c r="G273" s="10" t="s">
        <v>79</v>
      </c>
      <c r="H273" s="10" t="s">
        <v>91</v>
      </c>
      <c r="I273" s="11" t="n">
        <v>1</v>
      </c>
      <c r="J273" s="9" t="s">
        <v>340</v>
      </c>
      <c r="K273" s="10" t="s">
        <v>352</v>
      </c>
      <c r="L273" s="10" t="s">
        <v>243</v>
      </c>
      <c r="M273" s="10" t="s">
        <v>241</v>
      </c>
      <c r="N273" s="15"/>
      <c r="O273" s="10"/>
    </row>
    <row r="274" customFormat="false" ht="15" hidden="false" customHeight="false" outlineLevel="0" collapsed="false">
      <c r="A274" s="9" t="s">
        <v>935</v>
      </c>
      <c r="B274" s="10" t="s">
        <v>350</v>
      </c>
      <c r="C274" s="9" t="s">
        <v>51</v>
      </c>
      <c r="D274" s="9" t="s">
        <v>239</v>
      </c>
      <c r="E274" s="9" t="s">
        <v>936</v>
      </c>
      <c r="F274" s="9" t="s">
        <v>339</v>
      </c>
      <c r="G274" s="10" t="s">
        <v>78</v>
      </c>
      <c r="H274" s="10" t="s">
        <v>97</v>
      </c>
      <c r="I274" s="11" t="n">
        <v>1</v>
      </c>
      <c r="J274" s="9" t="s">
        <v>340</v>
      </c>
      <c r="K274" s="10" t="s">
        <v>367</v>
      </c>
      <c r="L274" s="10" t="s">
        <v>243</v>
      </c>
      <c r="M274" s="10" t="s">
        <v>241</v>
      </c>
      <c r="N274" s="15"/>
      <c r="O274" s="10"/>
    </row>
    <row r="275" customFormat="false" ht="29.85" hidden="false" customHeight="false" outlineLevel="0" collapsed="false">
      <c r="A275" s="9" t="s">
        <v>937</v>
      </c>
      <c r="B275" s="10" t="s">
        <v>350</v>
      </c>
      <c r="C275" s="9" t="s">
        <v>53</v>
      </c>
      <c r="D275" s="9" t="s">
        <v>244</v>
      </c>
      <c r="E275" s="9" t="s">
        <v>938</v>
      </c>
      <c r="F275" s="9" t="s">
        <v>939</v>
      </c>
      <c r="G275" s="10" t="s">
        <v>77</v>
      </c>
      <c r="H275" s="10" t="s">
        <v>97</v>
      </c>
      <c r="I275" s="11" t="n">
        <v>3</v>
      </c>
      <c r="J275" s="9" t="s">
        <v>843</v>
      </c>
      <c r="K275" s="10" t="s">
        <v>341</v>
      </c>
      <c r="L275" s="10" t="s">
        <v>248</v>
      </c>
      <c r="M275" s="10" t="s">
        <v>246</v>
      </c>
      <c r="N275" s="15"/>
      <c r="O275" s="10"/>
    </row>
    <row r="276" customFormat="false" ht="15" hidden="false" customHeight="false" outlineLevel="0" collapsed="false">
      <c r="A276" s="9" t="s">
        <v>940</v>
      </c>
      <c r="B276" s="10" t="s">
        <v>350</v>
      </c>
      <c r="C276" s="9" t="s">
        <v>53</v>
      </c>
      <c r="D276" s="9" t="s">
        <v>244</v>
      </c>
      <c r="E276" s="9" t="s">
        <v>941</v>
      </c>
      <c r="F276" s="9" t="s">
        <v>942</v>
      </c>
      <c r="G276" s="10" t="s">
        <v>78</v>
      </c>
      <c r="H276" s="10" t="s">
        <v>97</v>
      </c>
      <c r="I276" s="11" t="n">
        <v>3</v>
      </c>
      <c r="J276" s="9" t="s">
        <v>843</v>
      </c>
      <c r="K276" s="10" t="s">
        <v>367</v>
      </c>
      <c r="L276" s="10" t="s">
        <v>248</v>
      </c>
      <c r="M276" s="10" t="s">
        <v>246</v>
      </c>
      <c r="N276" s="15"/>
      <c r="O276" s="10"/>
    </row>
    <row r="277" customFormat="false" ht="15" hidden="false" customHeight="false" outlineLevel="0" collapsed="false">
      <c r="A277" s="9" t="s">
        <v>943</v>
      </c>
      <c r="B277" s="10" t="s">
        <v>350</v>
      </c>
      <c r="C277" s="9" t="s">
        <v>53</v>
      </c>
      <c r="D277" s="9" t="s">
        <v>249</v>
      </c>
      <c r="E277" s="9" t="s">
        <v>944</v>
      </c>
      <c r="F277" s="9" t="s">
        <v>339</v>
      </c>
      <c r="G277" s="10" t="s">
        <v>79</v>
      </c>
      <c r="H277" s="10" t="s">
        <v>97</v>
      </c>
      <c r="I277" s="11" t="n">
        <v>1</v>
      </c>
      <c r="J277" s="9" t="s">
        <v>340</v>
      </c>
      <c r="K277" s="10" t="s">
        <v>352</v>
      </c>
      <c r="L277" s="10" t="s">
        <v>253</v>
      </c>
      <c r="M277" s="10" t="s">
        <v>251</v>
      </c>
      <c r="N277" s="15"/>
      <c r="O277" s="10"/>
    </row>
    <row r="278" customFormat="false" ht="15" hidden="false" customHeight="false" outlineLevel="0" collapsed="false">
      <c r="A278" s="9" t="s">
        <v>945</v>
      </c>
      <c r="B278" s="10" t="s">
        <v>350</v>
      </c>
      <c r="C278" s="9" t="s">
        <v>53</v>
      </c>
      <c r="D278" s="9" t="s">
        <v>249</v>
      </c>
      <c r="E278" s="9" t="s">
        <v>946</v>
      </c>
      <c r="F278" s="9" t="s">
        <v>339</v>
      </c>
      <c r="G278" s="10" t="s">
        <v>76</v>
      </c>
      <c r="H278" s="10" t="s">
        <v>97</v>
      </c>
      <c r="I278" s="11" t="n">
        <v>1</v>
      </c>
      <c r="J278" s="9" t="s">
        <v>340</v>
      </c>
      <c r="K278" s="10" t="s">
        <v>348</v>
      </c>
      <c r="L278" s="10" t="s">
        <v>253</v>
      </c>
      <c r="M278" s="10" t="s">
        <v>251</v>
      </c>
      <c r="N278" s="15"/>
      <c r="O278" s="10"/>
    </row>
    <row r="279" customFormat="false" ht="15" hidden="false" customHeight="false" outlineLevel="0" collapsed="false">
      <c r="A279" s="9" t="s">
        <v>947</v>
      </c>
      <c r="B279" s="10" t="s">
        <v>350</v>
      </c>
      <c r="C279" s="9" t="s">
        <v>53</v>
      </c>
      <c r="D279" s="9" t="s">
        <v>254</v>
      </c>
      <c r="E279" s="9" t="s">
        <v>948</v>
      </c>
      <c r="F279" s="9" t="s">
        <v>949</v>
      </c>
      <c r="G279" s="10" t="s">
        <v>79</v>
      </c>
      <c r="H279" s="10" t="s">
        <v>97</v>
      </c>
      <c r="I279" s="11" t="n">
        <v>2</v>
      </c>
      <c r="J279" s="9" t="s">
        <v>340</v>
      </c>
      <c r="K279" s="10" t="s">
        <v>352</v>
      </c>
      <c r="L279" s="10" t="s">
        <v>258</v>
      </c>
      <c r="M279" s="10" t="s">
        <v>256</v>
      </c>
      <c r="N279" s="15"/>
      <c r="O279" s="10"/>
    </row>
    <row r="280" customFormat="false" ht="15" hidden="false" customHeight="false" outlineLevel="0" collapsed="false">
      <c r="A280" s="9" t="s">
        <v>950</v>
      </c>
      <c r="B280" s="10" t="s">
        <v>350</v>
      </c>
      <c r="C280" s="9" t="s">
        <v>53</v>
      </c>
      <c r="D280" s="9" t="s">
        <v>254</v>
      </c>
      <c r="E280" s="9" t="s">
        <v>951</v>
      </c>
      <c r="F280" s="9" t="s">
        <v>949</v>
      </c>
      <c r="G280" s="10" t="s">
        <v>78</v>
      </c>
      <c r="H280" s="10" t="s">
        <v>97</v>
      </c>
      <c r="I280" s="11" t="n">
        <v>2</v>
      </c>
      <c r="J280" s="9" t="s">
        <v>340</v>
      </c>
      <c r="K280" s="10" t="s">
        <v>367</v>
      </c>
      <c r="L280" s="10" t="s">
        <v>258</v>
      </c>
      <c r="M280" s="10" t="s">
        <v>256</v>
      </c>
      <c r="N280" s="15"/>
      <c r="O280" s="10"/>
    </row>
    <row r="281" customFormat="false" ht="29.85" hidden="false" customHeight="false" outlineLevel="0" collapsed="false">
      <c r="A281" s="9" t="s">
        <v>952</v>
      </c>
      <c r="B281" s="10" t="s">
        <v>674</v>
      </c>
      <c r="C281" s="9" t="s">
        <v>53</v>
      </c>
      <c r="D281" s="9" t="s">
        <v>259</v>
      </c>
      <c r="E281" s="9" t="s">
        <v>953</v>
      </c>
      <c r="F281" s="9" t="s">
        <v>954</v>
      </c>
      <c r="G281" s="10" t="s">
        <v>77</v>
      </c>
      <c r="H281" s="10" t="s">
        <v>97</v>
      </c>
      <c r="I281" s="11" t="n">
        <v>3</v>
      </c>
      <c r="J281" s="9" t="s">
        <v>843</v>
      </c>
      <c r="K281" s="10" t="s">
        <v>341</v>
      </c>
      <c r="L281" s="10" t="s">
        <v>263</v>
      </c>
      <c r="M281" s="10" t="s">
        <v>261</v>
      </c>
      <c r="N281" s="15"/>
      <c r="O281" s="10"/>
    </row>
    <row r="282" customFormat="false" ht="29.85" hidden="false" customHeight="false" outlineLevel="0" collapsed="false">
      <c r="A282" s="9" t="s">
        <v>955</v>
      </c>
      <c r="B282" s="10" t="s">
        <v>674</v>
      </c>
      <c r="C282" s="9" t="s">
        <v>53</v>
      </c>
      <c r="D282" s="9" t="s">
        <v>259</v>
      </c>
      <c r="E282" s="9" t="s">
        <v>956</v>
      </c>
      <c r="F282" s="9" t="s">
        <v>954</v>
      </c>
      <c r="G282" s="10" t="s">
        <v>75</v>
      </c>
      <c r="H282" s="10" t="s">
        <v>97</v>
      </c>
      <c r="I282" s="11" t="n">
        <v>3</v>
      </c>
      <c r="J282" s="9" t="s">
        <v>843</v>
      </c>
      <c r="K282" s="10" t="s">
        <v>344</v>
      </c>
      <c r="L282" s="10" t="s">
        <v>263</v>
      </c>
      <c r="M282" s="10" t="s">
        <v>261</v>
      </c>
      <c r="N282" s="15"/>
      <c r="O282" s="10"/>
    </row>
    <row r="283" customFormat="false" ht="15" hidden="false" customHeight="false" outlineLevel="0" collapsed="false">
      <c r="A283" s="9" t="s">
        <v>957</v>
      </c>
      <c r="B283" s="10" t="s">
        <v>350</v>
      </c>
      <c r="C283" s="9" t="s">
        <v>55</v>
      </c>
      <c r="D283" s="9" t="s">
        <v>264</v>
      </c>
      <c r="E283" s="9" t="s">
        <v>958</v>
      </c>
      <c r="F283" s="9" t="s">
        <v>339</v>
      </c>
      <c r="G283" s="10" t="s">
        <v>76</v>
      </c>
      <c r="H283" s="10" t="s">
        <v>97</v>
      </c>
      <c r="I283" s="11" t="n">
        <v>1</v>
      </c>
      <c r="J283" s="9" t="s">
        <v>340</v>
      </c>
      <c r="K283" s="10" t="s">
        <v>348</v>
      </c>
      <c r="L283" s="10" t="s">
        <v>268</v>
      </c>
      <c r="M283" s="10" t="s">
        <v>266</v>
      </c>
      <c r="N283" s="15"/>
      <c r="O283" s="10"/>
    </row>
    <row r="284" customFormat="false" ht="15" hidden="false" customHeight="false" outlineLevel="0" collapsed="false">
      <c r="A284" s="9" t="s">
        <v>959</v>
      </c>
      <c r="B284" s="10" t="s">
        <v>350</v>
      </c>
      <c r="C284" s="9" t="s">
        <v>55</v>
      </c>
      <c r="D284" s="9" t="s">
        <v>264</v>
      </c>
      <c r="E284" s="9" t="s">
        <v>960</v>
      </c>
      <c r="F284" s="9" t="s">
        <v>339</v>
      </c>
      <c r="G284" s="10" t="s">
        <v>79</v>
      </c>
      <c r="H284" s="10" t="s">
        <v>91</v>
      </c>
      <c r="I284" s="11" t="n">
        <v>1</v>
      </c>
      <c r="J284" s="9" t="s">
        <v>340</v>
      </c>
      <c r="K284" s="10" t="s">
        <v>352</v>
      </c>
      <c r="L284" s="10" t="s">
        <v>268</v>
      </c>
      <c r="M284" s="10" t="s">
        <v>266</v>
      </c>
      <c r="N284" s="15"/>
      <c r="O284" s="10"/>
    </row>
    <row r="285" customFormat="false" ht="15" hidden="false" customHeight="false" outlineLevel="0" collapsed="false">
      <c r="A285" s="9" t="s">
        <v>961</v>
      </c>
      <c r="B285" s="10" t="s">
        <v>350</v>
      </c>
      <c r="C285" s="9" t="s">
        <v>55</v>
      </c>
      <c r="D285" s="9" t="s">
        <v>269</v>
      </c>
      <c r="E285" s="9" t="s">
        <v>962</v>
      </c>
      <c r="F285" s="9" t="s">
        <v>339</v>
      </c>
      <c r="G285" s="10" t="s">
        <v>79</v>
      </c>
      <c r="H285" s="10" t="s">
        <v>91</v>
      </c>
      <c r="I285" s="11" t="n">
        <v>1</v>
      </c>
      <c r="J285" s="9" t="s">
        <v>340</v>
      </c>
      <c r="K285" s="10" t="s">
        <v>352</v>
      </c>
      <c r="L285" s="10" t="s">
        <v>243</v>
      </c>
      <c r="M285" s="10" t="s">
        <v>271</v>
      </c>
      <c r="N285" s="15"/>
      <c r="O285" s="10"/>
    </row>
    <row r="286" customFormat="false" ht="29.85" hidden="false" customHeight="false" outlineLevel="0" collapsed="false">
      <c r="A286" s="9" t="s">
        <v>963</v>
      </c>
      <c r="B286" s="10" t="s">
        <v>350</v>
      </c>
      <c r="C286" s="9" t="s">
        <v>55</v>
      </c>
      <c r="D286" s="9" t="s">
        <v>269</v>
      </c>
      <c r="E286" s="9" t="s">
        <v>964</v>
      </c>
      <c r="F286" s="9" t="s">
        <v>339</v>
      </c>
      <c r="G286" s="10" t="s">
        <v>77</v>
      </c>
      <c r="H286" s="10" t="s">
        <v>91</v>
      </c>
      <c r="I286" s="11" t="n">
        <v>1</v>
      </c>
      <c r="J286" s="9" t="s">
        <v>340</v>
      </c>
      <c r="K286" s="10" t="s">
        <v>341</v>
      </c>
      <c r="L286" s="10" t="s">
        <v>243</v>
      </c>
      <c r="M286" s="10" t="s">
        <v>271</v>
      </c>
      <c r="N286" s="15"/>
      <c r="O286" s="10"/>
    </row>
    <row r="287" customFormat="false" ht="29.85" hidden="false" customHeight="false" outlineLevel="0" collapsed="false">
      <c r="A287" s="9" t="s">
        <v>965</v>
      </c>
      <c r="B287" s="10" t="s">
        <v>350</v>
      </c>
      <c r="C287" s="9" t="s">
        <v>55</v>
      </c>
      <c r="D287" s="9" t="s">
        <v>273</v>
      </c>
      <c r="E287" s="9" t="s">
        <v>966</v>
      </c>
      <c r="F287" s="9" t="s">
        <v>339</v>
      </c>
      <c r="G287" s="10" t="s">
        <v>75</v>
      </c>
      <c r="H287" s="10" t="s">
        <v>131</v>
      </c>
      <c r="I287" s="11" t="n">
        <v>1</v>
      </c>
      <c r="J287" s="9" t="s">
        <v>340</v>
      </c>
      <c r="K287" s="10" t="s">
        <v>344</v>
      </c>
      <c r="L287" s="10" t="s">
        <v>277</v>
      </c>
      <c r="M287" s="10" t="s">
        <v>275</v>
      </c>
      <c r="N287" s="15"/>
      <c r="O287" s="10"/>
    </row>
    <row r="288" customFormat="false" ht="15" hidden="false" customHeight="false" outlineLevel="0" collapsed="false">
      <c r="A288" s="9" t="s">
        <v>967</v>
      </c>
      <c r="B288" s="10" t="s">
        <v>350</v>
      </c>
      <c r="C288" s="9" t="s">
        <v>55</v>
      </c>
      <c r="D288" s="9" t="s">
        <v>273</v>
      </c>
      <c r="E288" s="9" t="s">
        <v>968</v>
      </c>
      <c r="F288" s="9" t="s">
        <v>339</v>
      </c>
      <c r="G288" s="10" t="s">
        <v>78</v>
      </c>
      <c r="H288" s="10" t="s">
        <v>131</v>
      </c>
      <c r="I288" s="11" t="n">
        <v>1</v>
      </c>
      <c r="J288" s="9" t="s">
        <v>340</v>
      </c>
      <c r="K288" s="10" t="s">
        <v>367</v>
      </c>
      <c r="L288" s="10" t="s">
        <v>277</v>
      </c>
      <c r="M288" s="10" t="s">
        <v>275</v>
      </c>
      <c r="N288" s="15"/>
      <c r="O288" s="10"/>
    </row>
    <row r="289" customFormat="false" ht="29.85" hidden="false" customHeight="false" outlineLevel="0" collapsed="false">
      <c r="A289" s="9" t="s">
        <v>969</v>
      </c>
      <c r="B289" s="10" t="s">
        <v>350</v>
      </c>
      <c r="C289" s="9" t="s">
        <v>55</v>
      </c>
      <c r="D289" s="9" t="s">
        <v>278</v>
      </c>
      <c r="E289" s="9" t="s">
        <v>970</v>
      </c>
      <c r="F289" s="9" t="s">
        <v>339</v>
      </c>
      <c r="G289" s="10" t="s">
        <v>77</v>
      </c>
      <c r="H289" s="10" t="s">
        <v>131</v>
      </c>
      <c r="I289" s="11" t="n">
        <v>1</v>
      </c>
      <c r="J289" s="9" t="s">
        <v>340</v>
      </c>
      <c r="K289" s="10" t="s">
        <v>341</v>
      </c>
      <c r="L289" s="10" t="s">
        <v>282</v>
      </c>
      <c r="M289" s="10" t="s">
        <v>280</v>
      </c>
      <c r="N289" s="15"/>
      <c r="O289" s="10"/>
    </row>
    <row r="290" customFormat="false" ht="15" hidden="false" customHeight="false" outlineLevel="0" collapsed="false">
      <c r="A290" s="9" t="s">
        <v>971</v>
      </c>
      <c r="B290" s="10" t="s">
        <v>350</v>
      </c>
      <c r="C290" s="9" t="s">
        <v>55</v>
      </c>
      <c r="D290" s="9" t="s">
        <v>278</v>
      </c>
      <c r="E290" s="9" t="s">
        <v>972</v>
      </c>
      <c r="F290" s="9" t="s">
        <v>339</v>
      </c>
      <c r="G290" s="10" t="s">
        <v>78</v>
      </c>
      <c r="H290" s="10" t="s">
        <v>131</v>
      </c>
      <c r="I290" s="11" t="n">
        <v>1</v>
      </c>
      <c r="J290" s="9" t="s">
        <v>340</v>
      </c>
      <c r="K290" s="10" t="s">
        <v>367</v>
      </c>
      <c r="L290" s="10" t="s">
        <v>282</v>
      </c>
      <c r="M290" s="10" t="s">
        <v>280</v>
      </c>
      <c r="N290" s="15"/>
      <c r="O290" s="10"/>
    </row>
    <row r="291" customFormat="false" ht="29.85" hidden="false" customHeight="false" outlineLevel="0" collapsed="false">
      <c r="A291" s="9" t="s">
        <v>973</v>
      </c>
      <c r="B291" s="10" t="s">
        <v>350</v>
      </c>
      <c r="C291" s="9" t="s">
        <v>57</v>
      </c>
      <c r="D291" s="9" t="s">
        <v>283</v>
      </c>
      <c r="E291" s="9" t="s">
        <v>974</v>
      </c>
      <c r="F291" s="9" t="s">
        <v>339</v>
      </c>
      <c r="G291" s="10" t="s">
        <v>77</v>
      </c>
      <c r="H291" s="10" t="s">
        <v>91</v>
      </c>
      <c r="I291" s="11" t="n">
        <v>1</v>
      </c>
      <c r="J291" s="9" t="s">
        <v>340</v>
      </c>
      <c r="K291" s="10" t="s">
        <v>341</v>
      </c>
      <c r="L291" s="10" t="s">
        <v>287</v>
      </c>
      <c r="M291" s="10" t="s">
        <v>285</v>
      </c>
      <c r="N291" s="15"/>
      <c r="O291" s="10"/>
    </row>
    <row r="292" customFormat="false" ht="29.85" hidden="false" customHeight="false" outlineLevel="0" collapsed="false">
      <c r="A292" s="9" t="s">
        <v>975</v>
      </c>
      <c r="B292" s="10" t="s">
        <v>350</v>
      </c>
      <c r="C292" s="9" t="s">
        <v>57</v>
      </c>
      <c r="D292" s="9" t="s">
        <v>283</v>
      </c>
      <c r="E292" s="9" t="s">
        <v>976</v>
      </c>
      <c r="F292" s="9" t="s">
        <v>339</v>
      </c>
      <c r="G292" s="10" t="s">
        <v>77</v>
      </c>
      <c r="H292" s="10" t="s">
        <v>91</v>
      </c>
      <c r="I292" s="11" t="n">
        <v>1</v>
      </c>
      <c r="J292" s="9" t="s">
        <v>340</v>
      </c>
      <c r="K292" s="10" t="s">
        <v>341</v>
      </c>
      <c r="L292" s="10" t="s">
        <v>287</v>
      </c>
      <c r="M292" s="10" t="s">
        <v>285</v>
      </c>
      <c r="N292" s="15"/>
      <c r="O292" s="10"/>
    </row>
    <row r="293" customFormat="false" ht="29.85" hidden="false" customHeight="false" outlineLevel="0" collapsed="false">
      <c r="A293" s="9" t="s">
        <v>977</v>
      </c>
      <c r="B293" s="10" t="s">
        <v>350</v>
      </c>
      <c r="C293" s="9" t="s">
        <v>57</v>
      </c>
      <c r="D293" s="9" t="s">
        <v>288</v>
      </c>
      <c r="E293" s="9" t="s">
        <v>978</v>
      </c>
      <c r="F293" s="9" t="s">
        <v>339</v>
      </c>
      <c r="G293" s="10" t="s">
        <v>77</v>
      </c>
      <c r="H293" s="10" t="s">
        <v>91</v>
      </c>
      <c r="I293" s="11" t="n">
        <v>1</v>
      </c>
      <c r="J293" s="9" t="s">
        <v>340</v>
      </c>
      <c r="K293" s="10" t="s">
        <v>341</v>
      </c>
      <c r="L293" s="10" t="s">
        <v>292</v>
      </c>
      <c r="M293" s="10" t="s">
        <v>290</v>
      </c>
      <c r="N293" s="15"/>
      <c r="O293" s="10"/>
    </row>
    <row r="294" customFormat="false" ht="29.85" hidden="false" customHeight="false" outlineLevel="0" collapsed="false">
      <c r="A294" s="9" t="s">
        <v>979</v>
      </c>
      <c r="B294" s="10" t="s">
        <v>350</v>
      </c>
      <c r="C294" s="9" t="s">
        <v>57</v>
      </c>
      <c r="D294" s="9" t="s">
        <v>288</v>
      </c>
      <c r="E294" s="9" t="s">
        <v>980</v>
      </c>
      <c r="F294" s="9" t="s">
        <v>339</v>
      </c>
      <c r="G294" s="10" t="s">
        <v>77</v>
      </c>
      <c r="H294" s="10" t="s">
        <v>97</v>
      </c>
      <c r="I294" s="11" t="n">
        <v>1</v>
      </c>
      <c r="J294" s="9" t="s">
        <v>340</v>
      </c>
      <c r="K294" s="10" t="s">
        <v>341</v>
      </c>
      <c r="L294" s="10" t="s">
        <v>292</v>
      </c>
      <c r="M294" s="10" t="s">
        <v>290</v>
      </c>
      <c r="N294" s="15"/>
      <c r="O294" s="10"/>
    </row>
    <row r="295" customFormat="false" ht="29.85" hidden="false" customHeight="false" outlineLevel="0" collapsed="false">
      <c r="A295" s="9" t="s">
        <v>981</v>
      </c>
      <c r="B295" s="10" t="s">
        <v>350</v>
      </c>
      <c r="C295" s="9" t="s">
        <v>57</v>
      </c>
      <c r="D295" s="9" t="s">
        <v>293</v>
      </c>
      <c r="E295" s="9" t="s">
        <v>982</v>
      </c>
      <c r="F295" s="9" t="s">
        <v>983</v>
      </c>
      <c r="G295" s="10" t="s">
        <v>77</v>
      </c>
      <c r="H295" s="10" t="s">
        <v>97</v>
      </c>
      <c r="I295" s="11" t="n">
        <v>2</v>
      </c>
      <c r="J295" s="9" t="s">
        <v>843</v>
      </c>
      <c r="K295" s="10" t="s">
        <v>341</v>
      </c>
      <c r="L295" s="10" t="s">
        <v>297</v>
      </c>
      <c r="M295" s="10" t="s">
        <v>295</v>
      </c>
      <c r="N295" s="15"/>
      <c r="O295" s="10"/>
    </row>
    <row r="296" customFormat="false" ht="29.85" hidden="false" customHeight="false" outlineLevel="0" collapsed="false">
      <c r="A296" s="9" t="s">
        <v>984</v>
      </c>
      <c r="B296" s="10" t="s">
        <v>350</v>
      </c>
      <c r="C296" s="9" t="s">
        <v>57</v>
      </c>
      <c r="D296" s="9" t="s">
        <v>293</v>
      </c>
      <c r="E296" s="9" t="s">
        <v>985</v>
      </c>
      <c r="F296" s="9" t="s">
        <v>983</v>
      </c>
      <c r="G296" s="10" t="s">
        <v>77</v>
      </c>
      <c r="H296" s="10" t="s">
        <v>97</v>
      </c>
      <c r="I296" s="11" t="n">
        <v>2</v>
      </c>
      <c r="J296" s="9" t="s">
        <v>843</v>
      </c>
      <c r="K296" s="10" t="s">
        <v>341</v>
      </c>
      <c r="L296" s="10" t="s">
        <v>297</v>
      </c>
      <c r="M296" s="10" t="s">
        <v>295</v>
      </c>
      <c r="N296" s="15"/>
      <c r="O296" s="10"/>
    </row>
    <row r="297" customFormat="false" ht="29.85" hidden="false" customHeight="false" outlineLevel="0" collapsed="false">
      <c r="A297" s="9" t="s">
        <v>986</v>
      </c>
      <c r="B297" s="10" t="s">
        <v>350</v>
      </c>
      <c r="C297" s="9" t="s">
        <v>57</v>
      </c>
      <c r="D297" s="9" t="s">
        <v>298</v>
      </c>
      <c r="E297" s="9" t="s">
        <v>987</v>
      </c>
      <c r="F297" s="9" t="s">
        <v>339</v>
      </c>
      <c r="G297" s="10" t="s">
        <v>77</v>
      </c>
      <c r="H297" s="10" t="s">
        <v>91</v>
      </c>
      <c r="I297" s="11" t="n">
        <v>1</v>
      </c>
      <c r="J297" s="9" t="s">
        <v>340</v>
      </c>
      <c r="K297" s="10" t="s">
        <v>341</v>
      </c>
      <c r="L297" s="10" t="s">
        <v>302</v>
      </c>
      <c r="M297" s="10" t="s">
        <v>300</v>
      </c>
      <c r="N297" s="15"/>
      <c r="O297" s="10"/>
    </row>
    <row r="298" customFormat="false" ht="15" hidden="false" customHeight="false" outlineLevel="0" collapsed="false">
      <c r="A298" s="9" t="s">
        <v>988</v>
      </c>
      <c r="B298" s="10" t="s">
        <v>350</v>
      </c>
      <c r="C298" s="9" t="s">
        <v>57</v>
      </c>
      <c r="D298" s="9" t="s">
        <v>298</v>
      </c>
      <c r="E298" s="9" t="s">
        <v>989</v>
      </c>
      <c r="F298" s="9" t="s">
        <v>339</v>
      </c>
      <c r="G298" s="10" t="s">
        <v>78</v>
      </c>
      <c r="H298" s="10" t="s">
        <v>91</v>
      </c>
      <c r="I298" s="11" t="n">
        <v>1</v>
      </c>
      <c r="J298" s="9" t="s">
        <v>340</v>
      </c>
      <c r="K298" s="10" t="s">
        <v>367</v>
      </c>
      <c r="L298" s="10" t="s">
        <v>302</v>
      </c>
      <c r="M298" s="10" t="s">
        <v>300</v>
      </c>
      <c r="N298" s="15"/>
      <c r="O298" s="10"/>
    </row>
    <row r="299" customFormat="false" ht="29.85" hidden="false" customHeight="false" outlineLevel="0" collapsed="false">
      <c r="A299" s="9" t="s">
        <v>990</v>
      </c>
      <c r="B299" s="10" t="s">
        <v>350</v>
      </c>
      <c r="C299" s="9" t="s">
        <v>59</v>
      </c>
      <c r="D299" s="9" t="s">
        <v>303</v>
      </c>
      <c r="E299" s="9" t="s">
        <v>991</v>
      </c>
      <c r="F299" s="9" t="s">
        <v>366</v>
      </c>
      <c r="G299" s="10" t="s">
        <v>77</v>
      </c>
      <c r="H299" s="10" t="s">
        <v>91</v>
      </c>
      <c r="I299" s="11" t="n">
        <v>8</v>
      </c>
      <c r="J299" s="9" t="s">
        <v>356</v>
      </c>
      <c r="K299" s="10" t="s">
        <v>341</v>
      </c>
      <c r="L299" s="10" t="s">
        <v>307</v>
      </c>
      <c r="M299" s="10" t="s">
        <v>305</v>
      </c>
      <c r="N299" s="15"/>
      <c r="O299" s="10"/>
    </row>
    <row r="300" customFormat="false" ht="15" hidden="false" customHeight="false" outlineLevel="0" collapsed="false">
      <c r="A300" s="9" t="s">
        <v>992</v>
      </c>
      <c r="B300" s="10" t="s">
        <v>350</v>
      </c>
      <c r="C300" s="9" t="s">
        <v>59</v>
      </c>
      <c r="D300" s="9" t="s">
        <v>303</v>
      </c>
      <c r="E300" s="9" t="s">
        <v>993</v>
      </c>
      <c r="F300" s="9" t="s">
        <v>339</v>
      </c>
      <c r="G300" s="10" t="s">
        <v>76</v>
      </c>
      <c r="H300" s="10" t="s">
        <v>97</v>
      </c>
      <c r="I300" s="11" t="n">
        <v>1</v>
      </c>
      <c r="J300" s="9" t="s">
        <v>340</v>
      </c>
      <c r="K300" s="10" t="s">
        <v>348</v>
      </c>
      <c r="L300" s="10" t="s">
        <v>307</v>
      </c>
      <c r="M300" s="10" t="s">
        <v>305</v>
      </c>
      <c r="N300" s="15"/>
      <c r="O300" s="10"/>
    </row>
    <row r="301" customFormat="false" ht="29.85" hidden="false" customHeight="false" outlineLevel="0" collapsed="false">
      <c r="A301" s="9" t="s">
        <v>994</v>
      </c>
      <c r="B301" s="10" t="s">
        <v>350</v>
      </c>
      <c r="C301" s="9" t="s">
        <v>59</v>
      </c>
      <c r="D301" s="9" t="s">
        <v>308</v>
      </c>
      <c r="E301" s="9" t="s">
        <v>995</v>
      </c>
      <c r="F301" s="9" t="s">
        <v>996</v>
      </c>
      <c r="G301" s="10" t="s">
        <v>75</v>
      </c>
      <c r="H301" s="10" t="s">
        <v>91</v>
      </c>
      <c r="I301" s="11" t="n">
        <v>5</v>
      </c>
      <c r="J301" s="9" t="s">
        <v>340</v>
      </c>
      <c r="K301" s="10" t="s">
        <v>344</v>
      </c>
      <c r="L301" s="10" t="s">
        <v>312</v>
      </c>
      <c r="M301" s="10" t="s">
        <v>310</v>
      </c>
      <c r="N301" s="15"/>
      <c r="O301" s="10"/>
    </row>
    <row r="302" customFormat="false" ht="15" hidden="false" customHeight="false" outlineLevel="0" collapsed="false">
      <c r="A302" s="9" t="s">
        <v>997</v>
      </c>
      <c r="B302" s="10" t="s">
        <v>350</v>
      </c>
      <c r="C302" s="9" t="s">
        <v>59</v>
      </c>
      <c r="D302" s="9" t="s">
        <v>308</v>
      </c>
      <c r="E302" s="9" t="s">
        <v>998</v>
      </c>
      <c r="F302" s="9" t="s">
        <v>339</v>
      </c>
      <c r="G302" s="10" t="s">
        <v>78</v>
      </c>
      <c r="H302" s="10" t="s">
        <v>91</v>
      </c>
      <c r="I302" s="11" t="n">
        <v>1</v>
      </c>
      <c r="J302" s="9" t="s">
        <v>340</v>
      </c>
      <c r="K302" s="10" t="s">
        <v>367</v>
      </c>
      <c r="L302" s="10" t="s">
        <v>312</v>
      </c>
      <c r="M302" s="10" t="s">
        <v>310</v>
      </c>
      <c r="N302" s="15"/>
      <c r="O302" s="10"/>
    </row>
    <row r="303" customFormat="false" ht="15" hidden="false" customHeight="false" outlineLevel="0" collapsed="false">
      <c r="A303" s="9" t="s">
        <v>999</v>
      </c>
      <c r="B303" s="10" t="s">
        <v>350</v>
      </c>
      <c r="C303" s="9" t="s">
        <v>59</v>
      </c>
      <c r="D303" s="9" t="s">
        <v>313</v>
      </c>
      <c r="E303" s="9" t="s">
        <v>1000</v>
      </c>
      <c r="F303" s="9" t="s">
        <v>1001</v>
      </c>
      <c r="G303" s="10" t="s">
        <v>76</v>
      </c>
      <c r="H303" s="10" t="s">
        <v>91</v>
      </c>
      <c r="I303" s="11" t="n">
        <v>4</v>
      </c>
      <c r="J303" s="9" t="s">
        <v>340</v>
      </c>
      <c r="K303" s="10" t="s">
        <v>348</v>
      </c>
      <c r="L303" s="10" t="s">
        <v>317</v>
      </c>
      <c r="M303" s="10" t="s">
        <v>315</v>
      </c>
      <c r="N303" s="15"/>
      <c r="O303" s="10"/>
    </row>
    <row r="304" customFormat="false" ht="15" hidden="false" customHeight="false" outlineLevel="0" collapsed="false">
      <c r="A304" s="9" t="s">
        <v>1002</v>
      </c>
      <c r="B304" s="10" t="s">
        <v>350</v>
      </c>
      <c r="C304" s="9" t="s">
        <v>59</v>
      </c>
      <c r="D304" s="9" t="s">
        <v>313</v>
      </c>
      <c r="E304" s="9" t="s">
        <v>1003</v>
      </c>
      <c r="F304" s="9" t="s">
        <v>339</v>
      </c>
      <c r="G304" s="10" t="s">
        <v>79</v>
      </c>
      <c r="H304" s="10" t="s">
        <v>91</v>
      </c>
      <c r="I304" s="11" t="n">
        <v>1</v>
      </c>
      <c r="J304" s="9" t="s">
        <v>340</v>
      </c>
      <c r="K304" s="10" t="s">
        <v>352</v>
      </c>
      <c r="L304" s="10" t="s">
        <v>317</v>
      </c>
      <c r="M304" s="10" t="s">
        <v>315</v>
      </c>
      <c r="N304" s="15"/>
      <c r="O304" s="10"/>
    </row>
    <row r="305" customFormat="false" ht="15" hidden="false" customHeight="false" outlineLevel="0" collapsed="false">
      <c r="A305" s="9" t="s">
        <v>1004</v>
      </c>
      <c r="B305" s="10" t="s">
        <v>350</v>
      </c>
      <c r="C305" s="9" t="s">
        <v>59</v>
      </c>
      <c r="D305" s="9" t="s">
        <v>318</v>
      </c>
      <c r="E305" s="9" t="s">
        <v>1005</v>
      </c>
      <c r="F305" s="9" t="s">
        <v>339</v>
      </c>
      <c r="G305" s="10" t="s">
        <v>76</v>
      </c>
      <c r="H305" s="10" t="s">
        <v>97</v>
      </c>
      <c r="I305" s="11" t="n">
        <v>1</v>
      </c>
      <c r="J305" s="9" t="s">
        <v>340</v>
      </c>
      <c r="K305" s="10" t="s">
        <v>348</v>
      </c>
      <c r="L305" s="10" t="s">
        <v>200</v>
      </c>
      <c r="M305" s="10" t="s">
        <v>320</v>
      </c>
      <c r="N305" s="15"/>
      <c r="O305" s="10"/>
    </row>
    <row r="306" customFormat="false" ht="15" hidden="false" customHeight="false" outlineLevel="0" collapsed="false">
      <c r="A306" s="9" t="s">
        <v>1006</v>
      </c>
      <c r="B306" s="10" t="s">
        <v>350</v>
      </c>
      <c r="C306" s="9" t="s">
        <v>59</v>
      </c>
      <c r="D306" s="9" t="s">
        <v>318</v>
      </c>
      <c r="E306" s="9" t="s">
        <v>1007</v>
      </c>
      <c r="F306" s="9" t="s">
        <v>339</v>
      </c>
      <c r="G306" s="10" t="s">
        <v>76</v>
      </c>
      <c r="H306" s="10" t="s">
        <v>97</v>
      </c>
      <c r="I306" s="11" t="n">
        <v>1</v>
      </c>
      <c r="J306" s="9" t="s">
        <v>340</v>
      </c>
      <c r="K306" s="10" t="s">
        <v>348</v>
      </c>
      <c r="L306" s="10" t="s">
        <v>200</v>
      </c>
      <c r="M306" s="10" t="s">
        <v>320</v>
      </c>
      <c r="N306" s="15"/>
      <c r="O306" s="10"/>
    </row>
    <row r="307" customFormat="false" ht="15" hidden="false" customHeight="false" outlineLevel="0" collapsed="false">
      <c r="A307" s="9" t="s">
        <v>1008</v>
      </c>
      <c r="B307" s="10" t="s">
        <v>350</v>
      </c>
      <c r="C307" s="9" t="s">
        <v>43</v>
      </c>
      <c r="D307" s="9" t="s">
        <v>148</v>
      </c>
      <c r="E307" s="9" t="s">
        <v>1009</v>
      </c>
      <c r="F307" s="9" t="s">
        <v>1010</v>
      </c>
      <c r="G307" s="10" t="s">
        <v>76</v>
      </c>
      <c r="H307" s="10" t="s">
        <v>91</v>
      </c>
      <c r="I307" s="11" t="n">
        <v>7</v>
      </c>
      <c r="J307" s="9" t="s">
        <v>340</v>
      </c>
      <c r="K307" s="10" t="s">
        <v>348</v>
      </c>
      <c r="L307" s="10" t="s">
        <v>152</v>
      </c>
      <c r="M307" s="10" t="s">
        <v>150</v>
      </c>
      <c r="N307" s="15"/>
      <c r="O307" s="10"/>
    </row>
    <row r="308" customFormat="false" ht="29.85" hidden="false" customHeight="false" outlineLevel="0" collapsed="false">
      <c r="A308" s="9" t="s">
        <v>1011</v>
      </c>
      <c r="B308" s="10" t="s">
        <v>350</v>
      </c>
      <c r="C308" s="9" t="s">
        <v>43</v>
      </c>
      <c r="D308" s="9" t="s">
        <v>153</v>
      </c>
      <c r="E308" s="9" t="s">
        <v>1012</v>
      </c>
      <c r="F308" s="9" t="s">
        <v>858</v>
      </c>
      <c r="G308" s="10" t="s">
        <v>77</v>
      </c>
      <c r="H308" s="10" t="s">
        <v>131</v>
      </c>
      <c r="I308" s="11" t="n">
        <v>6</v>
      </c>
      <c r="J308" s="9" t="s">
        <v>340</v>
      </c>
      <c r="K308" s="10" t="s">
        <v>341</v>
      </c>
      <c r="L308" s="10" t="s">
        <v>157</v>
      </c>
      <c r="M308" s="10" t="s">
        <v>155</v>
      </c>
      <c r="N308" s="15"/>
      <c r="O308" s="10"/>
    </row>
    <row r="309" customFormat="false" ht="29.85" hidden="false" customHeight="false" outlineLevel="0" collapsed="false">
      <c r="A309" s="9" t="s">
        <v>1013</v>
      </c>
      <c r="B309" s="10" t="s">
        <v>350</v>
      </c>
      <c r="C309" s="9" t="s">
        <v>45</v>
      </c>
      <c r="D309" s="9" t="s">
        <v>168</v>
      </c>
      <c r="E309" s="9" t="s">
        <v>1014</v>
      </c>
      <c r="F309" s="9" t="s">
        <v>871</v>
      </c>
      <c r="G309" s="10" t="s">
        <v>75</v>
      </c>
      <c r="H309" s="10" t="s">
        <v>131</v>
      </c>
      <c r="I309" s="11" t="n">
        <v>5</v>
      </c>
      <c r="J309" s="9" t="s">
        <v>340</v>
      </c>
      <c r="K309" s="10" t="s">
        <v>344</v>
      </c>
      <c r="L309" s="10" t="s">
        <v>172</v>
      </c>
      <c r="M309" s="10" t="s">
        <v>170</v>
      </c>
      <c r="N309" s="15"/>
      <c r="O309" s="10"/>
    </row>
    <row r="310" customFormat="false" ht="29.85" hidden="false" customHeight="false" outlineLevel="0" collapsed="false">
      <c r="A310" s="9" t="s">
        <v>1015</v>
      </c>
      <c r="B310" s="10" t="s">
        <v>350</v>
      </c>
      <c r="C310" s="9" t="s">
        <v>47</v>
      </c>
      <c r="D310" s="9" t="s">
        <v>186</v>
      </c>
      <c r="E310" s="9" t="s">
        <v>1016</v>
      </c>
      <c r="F310" s="9" t="s">
        <v>888</v>
      </c>
      <c r="G310" s="10" t="s">
        <v>75</v>
      </c>
      <c r="H310" s="10" t="s">
        <v>91</v>
      </c>
      <c r="I310" s="11" t="n">
        <v>5</v>
      </c>
      <c r="J310" s="9" t="s">
        <v>340</v>
      </c>
      <c r="K310" s="10" t="s">
        <v>344</v>
      </c>
      <c r="L310" s="10" t="s">
        <v>190</v>
      </c>
      <c r="M310" s="10" t="s">
        <v>188</v>
      </c>
      <c r="N310" s="15"/>
      <c r="O310" s="10"/>
    </row>
    <row r="311" customFormat="false" ht="15" hidden="false" customHeight="false" outlineLevel="0" collapsed="false">
      <c r="A311" s="9" t="s">
        <v>1017</v>
      </c>
      <c r="B311" s="10" t="s">
        <v>350</v>
      </c>
      <c r="C311" s="9" t="s">
        <v>49</v>
      </c>
      <c r="D311" s="9" t="s">
        <v>221</v>
      </c>
      <c r="E311" s="9" t="s">
        <v>1018</v>
      </c>
      <c r="F311" s="9" t="s">
        <v>918</v>
      </c>
      <c r="G311" s="10" t="s">
        <v>78</v>
      </c>
      <c r="H311" s="10" t="s">
        <v>91</v>
      </c>
      <c r="I311" s="11" t="n">
        <v>5</v>
      </c>
      <c r="J311" s="9" t="s">
        <v>340</v>
      </c>
      <c r="K311" s="10" t="s">
        <v>367</v>
      </c>
      <c r="L311" s="10" t="s">
        <v>200</v>
      </c>
      <c r="M311" s="10" t="s">
        <v>223</v>
      </c>
      <c r="N311" s="15"/>
      <c r="O311" s="10"/>
    </row>
    <row r="312" customFormat="false" ht="15" hidden="false" customHeight="false" outlineLevel="0" collapsed="false">
      <c r="A312" s="9" t="s">
        <v>1019</v>
      </c>
      <c r="B312" s="10" t="s">
        <v>350</v>
      </c>
      <c r="C312" s="9" t="s">
        <v>41</v>
      </c>
      <c r="D312" s="9" t="s">
        <v>139</v>
      </c>
      <c r="E312" s="9" t="s">
        <v>1020</v>
      </c>
      <c r="F312" s="9" t="s">
        <v>1021</v>
      </c>
      <c r="G312" s="10" t="s">
        <v>79</v>
      </c>
      <c r="H312" s="10" t="s">
        <v>97</v>
      </c>
      <c r="I312" s="11" t="n">
        <v>5</v>
      </c>
      <c r="J312" s="9" t="s">
        <v>340</v>
      </c>
      <c r="K312" s="10" t="s">
        <v>352</v>
      </c>
      <c r="L312" s="10" t="s">
        <v>142</v>
      </c>
      <c r="M312" s="10" t="s">
        <v>136</v>
      </c>
      <c r="N312" s="15"/>
      <c r="O312" s="10"/>
    </row>
    <row r="313" customFormat="false" ht="29.85" hidden="false" customHeight="false" outlineLevel="0" collapsed="false">
      <c r="A313" s="9" t="s">
        <v>1022</v>
      </c>
      <c r="B313" s="10" t="s">
        <v>350</v>
      </c>
      <c r="C313" s="9" t="s">
        <v>41</v>
      </c>
      <c r="D313" s="9" t="s">
        <v>128</v>
      </c>
      <c r="E313" s="9" t="s">
        <v>1023</v>
      </c>
      <c r="F313" s="9" t="s">
        <v>1024</v>
      </c>
      <c r="G313" s="10" t="s">
        <v>77</v>
      </c>
      <c r="H313" s="10" t="s">
        <v>131</v>
      </c>
      <c r="I313" s="11" t="n">
        <v>3</v>
      </c>
      <c r="J313" s="9" t="s">
        <v>340</v>
      </c>
      <c r="K313" s="10" t="s">
        <v>341</v>
      </c>
      <c r="L313" s="10" t="s">
        <v>133</v>
      </c>
      <c r="M313" s="10" t="s">
        <v>130</v>
      </c>
      <c r="N313" s="15"/>
      <c r="O313" s="10"/>
    </row>
    <row r="314" customFormat="false" ht="29.85" hidden="false" customHeight="false" outlineLevel="0" collapsed="false">
      <c r="A314" s="9" t="s">
        <v>1025</v>
      </c>
      <c r="B314" s="10" t="s">
        <v>350</v>
      </c>
      <c r="C314" s="9" t="s">
        <v>43</v>
      </c>
      <c r="D314" s="9" t="s">
        <v>163</v>
      </c>
      <c r="E314" s="9" t="s">
        <v>1026</v>
      </c>
      <c r="F314" s="9" t="s">
        <v>1027</v>
      </c>
      <c r="G314" s="10" t="s">
        <v>77</v>
      </c>
      <c r="H314" s="10" t="s">
        <v>131</v>
      </c>
      <c r="I314" s="11" t="n">
        <v>4</v>
      </c>
      <c r="J314" s="9" t="s">
        <v>340</v>
      </c>
      <c r="K314" s="10" t="s">
        <v>341</v>
      </c>
      <c r="L314" s="10" t="s">
        <v>167</v>
      </c>
      <c r="M314" s="10" t="s">
        <v>165</v>
      </c>
      <c r="N314" s="15"/>
      <c r="O314" s="10"/>
    </row>
    <row r="315" customFormat="false" ht="29.85" hidden="false" customHeight="false" outlineLevel="0" collapsed="false">
      <c r="A315" s="9" t="s">
        <v>1028</v>
      </c>
      <c r="B315" s="10" t="s">
        <v>350</v>
      </c>
      <c r="C315" s="9" t="s">
        <v>47</v>
      </c>
      <c r="D315" s="9" t="s">
        <v>191</v>
      </c>
      <c r="E315" s="9" t="s">
        <v>1029</v>
      </c>
      <c r="F315" s="9" t="s">
        <v>893</v>
      </c>
      <c r="G315" s="10" t="s">
        <v>75</v>
      </c>
      <c r="H315" s="10" t="s">
        <v>91</v>
      </c>
      <c r="I315" s="11" t="n">
        <v>3</v>
      </c>
      <c r="J315" s="9" t="s">
        <v>340</v>
      </c>
      <c r="K315" s="10" t="s">
        <v>344</v>
      </c>
      <c r="L315" s="10" t="s">
        <v>195</v>
      </c>
      <c r="M315" s="10" t="s">
        <v>193</v>
      </c>
      <c r="N315" s="15"/>
      <c r="O315" s="10"/>
    </row>
    <row r="316" customFormat="false" ht="29.85" hidden="false" customHeight="false" outlineLevel="0" collapsed="false">
      <c r="A316" s="9" t="s">
        <v>1030</v>
      </c>
      <c r="B316" s="10" t="s">
        <v>350</v>
      </c>
      <c r="C316" s="9" t="s">
        <v>53</v>
      </c>
      <c r="D316" s="9" t="s">
        <v>254</v>
      </c>
      <c r="E316" s="9" t="s">
        <v>1031</v>
      </c>
      <c r="F316" s="9" t="s">
        <v>949</v>
      </c>
      <c r="G316" s="10" t="s">
        <v>75</v>
      </c>
      <c r="H316" s="10" t="s">
        <v>97</v>
      </c>
      <c r="I316" s="11" t="n">
        <v>2</v>
      </c>
      <c r="J316" s="9" t="s">
        <v>340</v>
      </c>
      <c r="K316" s="10" t="s">
        <v>344</v>
      </c>
      <c r="L316" s="10" t="s">
        <v>258</v>
      </c>
      <c r="M316" s="10" t="s">
        <v>256</v>
      </c>
      <c r="N316" s="15"/>
      <c r="O316" s="10"/>
    </row>
    <row r="317" customFormat="false" ht="15" hidden="false" customHeight="false" outlineLevel="0" collapsed="false">
      <c r="A317" s="9" t="s">
        <v>1032</v>
      </c>
      <c r="B317" s="10" t="s">
        <v>350</v>
      </c>
      <c r="C317" s="9" t="s">
        <v>57</v>
      </c>
      <c r="D317" s="9" t="s">
        <v>293</v>
      </c>
      <c r="E317" s="9" t="s">
        <v>1033</v>
      </c>
      <c r="F317" s="9" t="s">
        <v>983</v>
      </c>
      <c r="G317" s="10" t="s">
        <v>78</v>
      </c>
      <c r="H317" s="10" t="s">
        <v>97</v>
      </c>
      <c r="I317" s="11" t="n">
        <v>2</v>
      </c>
      <c r="J317" s="9" t="s">
        <v>340</v>
      </c>
      <c r="K317" s="10" t="s">
        <v>367</v>
      </c>
      <c r="L317" s="10" t="s">
        <v>297</v>
      </c>
      <c r="M317" s="10" t="s">
        <v>295</v>
      </c>
      <c r="N317" s="15"/>
      <c r="O317" s="10"/>
    </row>
    <row r="318" customFormat="false" ht="15" hidden="false" customHeight="false" outlineLevel="0" collapsed="false">
      <c r="A318" s="9" t="s">
        <v>1034</v>
      </c>
      <c r="B318" s="10" t="s">
        <v>350</v>
      </c>
      <c r="C318" s="9" t="s">
        <v>39</v>
      </c>
      <c r="D318" s="9" t="s">
        <v>114</v>
      </c>
      <c r="E318" s="9" t="s">
        <v>1035</v>
      </c>
      <c r="F318" s="9" t="s">
        <v>1036</v>
      </c>
      <c r="G318" s="10" t="s">
        <v>76</v>
      </c>
      <c r="H318" s="10" t="s">
        <v>91</v>
      </c>
      <c r="I318" s="11" t="n">
        <v>10</v>
      </c>
      <c r="J318" s="9" t="s">
        <v>340</v>
      </c>
      <c r="K318" s="10" t="s">
        <v>348</v>
      </c>
      <c r="L318" s="10" t="s">
        <v>118</v>
      </c>
      <c r="M318" s="10" t="s">
        <v>116</v>
      </c>
      <c r="N318" s="15"/>
      <c r="O318" s="10"/>
    </row>
    <row r="319" customFormat="false" ht="15" hidden="false" customHeight="false" outlineLevel="0" collapsed="false">
      <c r="A319" s="9" t="s">
        <v>1037</v>
      </c>
      <c r="B319" s="10" t="s">
        <v>350</v>
      </c>
      <c r="C319" s="9" t="s">
        <v>51</v>
      </c>
      <c r="D319" s="9" t="s">
        <v>225</v>
      </c>
      <c r="E319" s="9" t="s">
        <v>1038</v>
      </c>
      <c r="F319" s="9" t="s">
        <v>339</v>
      </c>
      <c r="G319" s="10" t="s">
        <v>76</v>
      </c>
      <c r="H319" s="10" t="s">
        <v>91</v>
      </c>
      <c r="I319" s="11" t="n">
        <v>1</v>
      </c>
      <c r="J319" s="9" t="s">
        <v>340</v>
      </c>
      <c r="K319" s="10" t="s">
        <v>348</v>
      </c>
      <c r="L319" s="10" t="s">
        <v>229</v>
      </c>
      <c r="M319" s="10" t="s">
        <v>227</v>
      </c>
      <c r="N319" s="15"/>
      <c r="O319" s="10"/>
    </row>
    <row r="320" customFormat="false" ht="29.85" hidden="false" customHeight="false" outlineLevel="0" collapsed="false">
      <c r="A320" s="9" t="s">
        <v>1039</v>
      </c>
      <c r="B320" s="10" t="s">
        <v>350</v>
      </c>
      <c r="C320" s="9" t="s">
        <v>51</v>
      </c>
      <c r="D320" s="9" t="s">
        <v>225</v>
      </c>
      <c r="E320" s="9" t="s">
        <v>1040</v>
      </c>
      <c r="F320" s="9" t="s">
        <v>339</v>
      </c>
      <c r="G320" s="10" t="s">
        <v>77</v>
      </c>
      <c r="H320" s="10" t="s">
        <v>91</v>
      </c>
      <c r="I320" s="11" t="n">
        <v>1</v>
      </c>
      <c r="J320" s="9" t="s">
        <v>340</v>
      </c>
      <c r="K320" s="10" t="s">
        <v>341</v>
      </c>
      <c r="L320" s="10" t="s">
        <v>229</v>
      </c>
      <c r="M320" s="10" t="s">
        <v>227</v>
      </c>
      <c r="N320" s="15"/>
      <c r="O320" s="10"/>
    </row>
    <row r="321" customFormat="false" ht="15" hidden="false" customHeight="false" outlineLevel="0" collapsed="false">
      <c r="A321" s="9" t="s">
        <v>1041</v>
      </c>
      <c r="B321" s="10" t="s">
        <v>350</v>
      </c>
      <c r="C321" s="9" t="s">
        <v>51</v>
      </c>
      <c r="D321" s="9" t="s">
        <v>230</v>
      </c>
      <c r="E321" s="9" t="s">
        <v>1042</v>
      </c>
      <c r="F321" s="9" t="s">
        <v>339</v>
      </c>
      <c r="G321" s="10" t="s">
        <v>79</v>
      </c>
      <c r="H321" s="10" t="s">
        <v>91</v>
      </c>
      <c r="I321" s="11" t="n">
        <v>1</v>
      </c>
      <c r="J321" s="9" t="s">
        <v>340</v>
      </c>
      <c r="K321" s="10" t="s">
        <v>352</v>
      </c>
      <c r="L321" s="10" t="s">
        <v>162</v>
      </c>
      <c r="M321" s="10" t="s">
        <v>232</v>
      </c>
      <c r="N321" s="15"/>
      <c r="O321" s="10"/>
    </row>
    <row r="322" customFormat="false" ht="29.85" hidden="false" customHeight="false" outlineLevel="0" collapsed="false">
      <c r="A322" s="9" t="s">
        <v>1043</v>
      </c>
      <c r="B322" s="10" t="s">
        <v>350</v>
      </c>
      <c r="C322" s="9" t="s">
        <v>51</v>
      </c>
      <c r="D322" s="9" t="s">
        <v>230</v>
      </c>
      <c r="E322" s="9" t="s">
        <v>1044</v>
      </c>
      <c r="F322" s="9" t="s">
        <v>366</v>
      </c>
      <c r="G322" s="10" t="s">
        <v>77</v>
      </c>
      <c r="H322" s="10" t="s">
        <v>91</v>
      </c>
      <c r="I322" s="11" t="n">
        <v>8</v>
      </c>
      <c r="J322" s="9" t="s">
        <v>356</v>
      </c>
      <c r="K322" s="10" t="s">
        <v>341</v>
      </c>
      <c r="L322" s="10" t="s">
        <v>162</v>
      </c>
      <c r="M322" s="10" t="s">
        <v>232</v>
      </c>
      <c r="N322" s="15"/>
      <c r="O322" s="10"/>
    </row>
    <row r="323" customFormat="false" ht="29.85" hidden="false" customHeight="false" outlineLevel="0" collapsed="false">
      <c r="A323" s="9" t="s">
        <v>1045</v>
      </c>
      <c r="B323" s="10" t="s">
        <v>350</v>
      </c>
      <c r="C323" s="9" t="s">
        <v>51</v>
      </c>
      <c r="D323" s="9" t="s">
        <v>230</v>
      </c>
      <c r="E323" s="9" t="s">
        <v>1046</v>
      </c>
      <c r="F323" s="9" t="s">
        <v>339</v>
      </c>
      <c r="G323" s="10" t="s">
        <v>77</v>
      </c>
      <c r="H323" s="10" t="s">
        <v>91</v>
      </c>
      <c r="I323" s="11" t="n">
        <v>1</v>
      </c>
      <c r="J323" s="9" t="s">
        <v>340</v>
      </c>
      <c r="K323" s="10" t="s">
        <v>341</v>
      </c>
      <c r="L323" s="10" t="s">
        <v>162</v>
      </c>
      <c r="M323" s="10" t="s">
        <v>232</v>
      </c>
      <c r="N323" s="15"/>
      <c r="O323" s="10"/>
    </row>
    <row r="324" customFormat="false" ht="15" hidden="false" customHeight="false" outlineLevel="0" collapsed="false">
      <c r="A324" s="9" t="s">
        <v>1047</v>
      </c>
      <c r="B324" s="10" t="s">
        <v>350</v>
      </c>
      <c r="C324" s="9" t="s">
        <v>51</v>
      </c>
      <c r="D324" s="9" t="s">
        <v>239</v>
      </c>
      <c r="E324" s="9" t="s">
        <v>1048</v>
      </c>
      <c r="F324" s="9" t="s">
        <v>339</v>
      </c>
      <c r="G324" s="10" t="s">
        <v>76</v>
      </c>
      <c r="H324" s="10" t="s">
        <v>131</v>
      </c>
      <c r="I324" s="11" t="n">
        <v>1</v>
      </c>
      <c r="J324" s="9" t="s">
        <v>340</v>
      </c>
      <c r="K324" s="10" t="s">
        <v>348</v>
      </c>
      <c r="L324" s="10" t="s">
        <v>243</v>
      </c>
      <c r="M324" s="10" t="s">
        <v>241</v>
      </c>
      <c r="N324" s="15"/>
      <c r="O324" s="10"/>
    </row>
    <row r="325" customFormat="false" ht="29.85" hidden="false" customHeight="false" outlineLevel="0" collapsed="false">
      <c r="A325" s="9" t="s">
        <v>1049</v>
      </c>
      <c r="B325" s="10" t="s">
        <v>350</v>
      </c>
      <c r="C325" s="9" t="s">
        <v>51</v>
      </c>
      <c r="D325" s="9" t="s">
        <v>239</v>
      </c>
      <c r="E325" s="9" t="s">
        <v>1050</v>
      </c>
      <c r="F325" s="9" t="s">
        <v>339</v>
      </c>
      <c r="G325" s="10" t="s">
        <v>75</v>
      </c>
      <c r="H325" s="10" t="s">
        <v>91</v>
      </c>
      <c r="I325" s="11" t="n">
        <v>1</v>
      </c>
      <c r="J325" s="9" t="s">
        <v>340</v>
      </c>
      <c r="K325" s="10" t="s">
        <v>344</v>
      </c>
      <c r="L325" s="10" t="s">
        <v>243</v>
      </c>
      <c r="M325" s="10" t="s">
        <v>241</v>
      </c>
      <c r="N325" s="15"/>
      <c r="O325" s="10"/>
    </row>
    <row r="326" customFormat="false" ht="29.85" hidden="false" customHeight="false" outlineLevel="0" collapsed="false">
      <c r="A326" s="9" t="s">
        <v>1051</v>
      </c>
      <c r="B326" s="10" t="s">
        <v>350</v>
      </c>
      <c r="C326" s="9" t="s">
        <v>51</v>
      </c>
      <c r="D326" s="9" t="s">
        <v>239</v>
      </c>
      <c r="E326" s="9" t="s">
        <v>1052</v>
      </c>
      <c r="F326" s="9" t="s">
        <v>1053</v>
      </c>
      <c r="G326" s="10" t="s">
        <v>75</v>
      </c>
      <c r="H326" s="10" t="s">
        <v>91</v>
      </c>
      <c r="I326" s="11" t="n">
        <v>4</v>
      </c>
      <c r="J326" s="9" t="s">
        <v>340</v>
      </c>
      <c r="K326" s="10" t="s">
        <v>344</v>
      </c>
      <c r="L326" s="10" t="s">
        <v>243</v>
      </c>
      <c r="M326" s="10" t="s">
        <v>241</v>
      </c>
      <c r="N326" s="15"/>
      <c r="O326" s="10"/>
    </row>
    <row r="327" customFormat="false" ht="29.85" hidden="false" customHeight="false" outlineLevel="0" collapsed="false">
      <c r="A327" s="9" t="s">
        <v>1054</v>
      </c>
      <c r="B327" s="10" t="s">
        <v>350</v>
      </c>
      <c r="C327" s="9" t="s">
        <v>51</v>
      </c>
      <c r="D327" s="9" t="s">
        <v>234</v>
      </c>
      <c r="E327" s="9" t="s">
        <v>1055</v>
      </c>
      <c r="F327" s="9" t="s">
        <v>339</v>
      </c>
      <c r="G327" s="10" t="s">
        <v>77</v>
      </c>
      <c r="H327" s="10" t="s">
        <v>131</v>
      </c>
      <c r="I327" s="11" t="n">
        <v>1</v>
      </c>
      <c r="J327" s="9" t="s">
        <v>340</v>
      </c>
      <c r="K327" s="10" t="s">
        <v>341</v>
      </c>
      <c r="L327" s="10" t="s">
        <v>238</v>
      </c>
      <c r="M327" s="10" t="s">
        <v>236</v>
      </c>
      <c r="N327" s="15"/>
      <c r="O327" s="10"/>
    </row>
    <row r="328" customFormat="false" ht="15" hidden="false" customHeight="false" outlineLevel="0" collapsed="false">
      <c r="A328" s="9" t="s">
        <v>1056</v>
      </c>
      <c r="B328" s="10" t="s">
        <v>350</v>
      </c>
      <c r="C328" s="9" t="s">
        <v>51</v>
      </c>
      <c r="D328" s="9" t="s">
        <v>234</v>
      </c>
      <c r="E328" s="9" t="s">
        <v>1057</v>
      </c>
      <c r="F328" s="9" t="s">
        <v>1058</v>
      </c>
      <c r="G328" s="10" t="s">
        <v>79</v>
      </c>
      <c r="H328" s="10" t="s">
        <v>97</v>
      </c>
      <c r="I328" s="11" t="n">
        <v>4</v>
      </c>
      <c r="J328" s="9" t="s">
        <v>340</v>
      </c>
      <c r="K328" s="10" t="s">
        <v>352</v>
      </c>
      <c r="L328" s="10" t="s">
        <v>238</v>
      </c>
      <c r="M328" s="10" t="s">
        <v>236</v>
      </c>
      <c r="N328" s="15"/>
      <c r="O328" s="10"/>
    </row>
    <row r="329" customFormat="false" ht="15" hidden="false" customHeight="false" outlineLevel="0" collapsed="false">
      <c r="A329" s="9" t="s">
        <v>1059</v>
      </c>
      <c r="B329" s="10" t="s">
        <v>350</v>
      </c>
      <c r="C329" s="9" t="s">
        <v>51</v>
      </c>
      <c r="D329" s="9" t="s">
        <v>234</v>
      </c>
      <c r="E329" s="9" t="s">
        <v>1060</v>
      </c>
      <c r="F329" s="9" t="s">
        <v>339</v>
      </c>
      <c r="G329" s="10" t="s">
        <v>78</v>
      </c>
      <c r="H329" s="10" t="s">
        <v>97</v>
      </c>
      <c r="I329" s="11" t="n">
        <v>1</v>
      </c>
      <c r="J329" s="9" t="s">
        <v>340</v>
      </c>
      <c r="K329" s="10" t="s">
        <v>367</v>
      </c>
      <c r="L329" s="10" t="s">
        <v>238</v>
      </c>
      <c r="M329" s="10" t="s">
        <v>236</v>
      </c>
      <c r="N329" s="15"/>
      <c r="O329" s="10"/>
    </row>
    <row r="330" customFormat="false" ht="15" hidden="false" customHeight="false" outlineLevel="0" collapsed="false">
      <c r="A330" s="9" t="s">
        <v>1061</v>
      </c>
      <c r="B330" s="10" t="s">
        <v>350</v>
      </c>
      <c r="C330" s="9" t="s">
        <v>55</v>
      </c>
      <c r="D330" s="9" t="s">
        <v>264</v>
      </c>
      <c r="E330" s="9" t="s">
        <v>1062</v>
      </c>
      <c r="F330" s="9" t="s">
        <v>339</v>
      </c>
      <c r="G330" s="10" t="s">
        <v>76</v>
      </c>
      <c r="H330" s="10" t="s">
        <v>91</v>
      </c>
      <c r="I330" s="11" t="n">
        <v>1</v>
      </c>
      <c r="J330" s="9" t="s">
        <v>340</v>
      </c>
      <c r="K330" s="10" t="s">
        <v>348</v>
      </c>
      <c r="L330" s="10" t="s">
        <v>268</v>
      </c>
      <c r="M330" s="10" t="s">
        <v>266</v>
      </c>
      <c r="N330" s="15"/>
      <c r="O330" s="10"/>
    </row>
    <row r="331" customFormat="false" ht="15" hidden="false" customHeight="false" outlineLevel="0" collapsed="false">
      <c r="A331" s="9" t="s">
        <v>1063</v>
      </c>
      <c r="B331" s="10" t="s">
        <v>350</v>
      </c>
      <c r="C331" s="9" t="s">
        <v>55</v>
      </c>
      <c r="D331" s="9" t="s">
        <v>264</v>
      </c>
      <c r="E331" s="9" t="s">
        <v>1064</v>
      </c>
      <c r="F331" s="9" t="s">
        <v>339</v>
      </c>
      <c r="G331" s="10" t="s">
        <v>79</v>
      </c>
      <c r="H331" s="10" t="s">
        <v>91</v>
      </c>
      <c r="I331" s="11" t="n">
        <v>1</v>
      </c>
      <c r="J331" s="9" t="s">
        <v>340</v>
      </c>
      <c r="K331" s="10" t="s">
        <v>352</v>
      </c>
      <c r="L331" s="10" t="s">
        <v>268</v>
      </c>
      <c r="M331" s="10" t="s">
        <v>266</v>
      </c>
      <c r="N331" s="15"/>
      <c r="O331" s="10"/>
    </row>
    <row r="332" customFormat="false" ht="29.85" hidden="false" customHeight="false" outlineLevel="0" collapsed="false">
      <c r="A332" s="9" t="s">
        <v>1065</v>
      </c>
      <c r="B332" s="10" t="s">
        <v>350</v>
      </c>
      <c r="C332" s="9" t="s">
        <v>55</v>
      </c>
      <c r="D332" s="9" t="s">
        <v>264</v>
      </c>
      <c r="E332" s="9" t="s">
        <v>1066</v>
      </c>
      <c r="F332" s="9" t="s">
        <v>1067</v>
      </c>
      <c r="G332" s="10" t="s">
        <v>75</v>
      </c>
      <c r="H332" s="10" t="s">
        <v>91</v>
      </c>
      <c r="I332" s="11" t="n">
        <v>4</v>
      </c>
      <c r="J332" s="9" t="s">
        <v>340</v>
      </c>
      <c r="K332" s="10" t="s">
        <v>344</v>
      </c>
      <c r="L332" s="10" t="s">
        <v>268</v>
      </c>
      <c r="M332" s="10" t="s">
        <v>266</v>
      </c>
      <c r="N332" s="15"/>
      <c r="O332" s="10"/>
    </row>
    <row r="333" customFormat="false" ht="29.85" hidden="false" customHeight="false" outlineLevel="0" collapsed="false">
      <c r="A333" s="9" t="s">
        <v>1068</v>
      </c>
      <c r="B333" s="10" t="s">
        <v>350</v>
      </c>
      <c r="C333" s="9" t="s">
        <v>55</v>
      </c>
      <c r="D333" s="9" t="s">
        <v>264</v>
      </c>
      <c r="E333" s="9" t="s">
        <v>1069</v>
      </c>
      <c r="F333" s="9" t="s">
        <v>339</v>
      </c>
      <c r="G333" s="10" t="s">
        <v>75</v>
      </c>
      <c r="H333" s="10" t="s">
        <v>97</v>
      </c>
      <c r="I333" s="11" t="n">
        <v>1</v>
      </c>
      <c r="J333" s="9" t="s">
        <v>340</v>
      </c>
      <c r="K333" s="10" t="s">
        <v>344</v>
      </c>
      <c r="L333" s="10" t="s">
        <v>268</v>
      </c>
      <c r="M333" s="10" t="s">
        <v>266</v>
      </c>
      <c r="N333" s="15"/>
      <c r="O333" s="10"/>
    </row>
    <row r="334" customFormat="false" ht="29.85" hidden="false" customHeight="false" outlineLevel="0" collapsed="false">
      <c r="A334" s="9" t="s">
        <v>1070</v>
      </c>
      <c r="B334" s="10" t="s">
        <v>350</v>
      </c>
      <c r="C334" s="9" t="s">
        <v>55</v>
      </c>
      <c r="D334" s="9" t="s">
        <v>269</v>
      </c>
      <c r="E334" s="9" t="s">
        <v>1071</v>
      </c>
      <c r="F334" s="9" t="s">
        <v>1072</v>
      </c>
      <c r="G334" s="10" t="s">
        <v>75</v>
      </c>
      <c r="H334" s="10" t="s">
        <v>91</v>
      </c>
      <c r="I334" s="11" t="n">
        <v>4</v>
      </c>
      <c r="J334" s="9" t="s">
        <v>340</v>
      </c>
      <c r="K334" s="10" t="s">
        <v>344</v>
      </c>
      <c r="L334" s="10" t="s">
        <v>243</v>
      </c>
      <c r="M334" s="10" t="s">
        <v>271</v>
      </c>
      <c r="N334" s="15"/>
      <c r="O334" s="10"/>
    </row>
    <row r="335" customFormat="false" ht="15" hidden="false" customHeight="false" outlineLevel="0" collapsed="false">
      <c r="A335" s="9" t="s">
        <v>1073</v>
      </c>
      <c r="B335" s="10" t="s">
        <v>350</v>
      </c>
      <c r="C335" s="9" t="s">
        <v>55</v>
      </c>
      <c r="D335" s="9" t="s">
        <v>269</v>
      </c>
      <c r="E335" s="9" t="s">
        <v>1074</v>
      </c>
      <c r="F335" s="9" t="s">
        <v>339</v>
      </c>
      <c r="G335" s="10" t="s">
        <v>76</v>
      </c>
      <c r="H335" s="10" t="s">
        <v>91</v>
      </c>
      <c r="I335" s="11" t="n">
        <v>1</v>
      </c>
      <c r="J335" s="9" t="s">
        <v>340</v>
      </c>
      <c r="K335" s="10" t="s">
        <v>348</v>
      </c>
      <c r="L335" s="10" t="s">
        <v>243</v>
      </c>
      <c r="M335" s="10" t="s">
        <v>271</v>
      </c>
      <c r="N335" s="15"/>
      <c r="O335" s="10"/>
    </row>
    <row r="336" customFormat="false" ht="15" hidden="false" customHeight="false" outlineLevel="0" collapsed="false">
      <c r="A336" s="9" t="s">
        <v>1075</v>
      </c>
      <c r="B336" s="10" t="s">
        <v>350</v>
      </c>
      <c r="C336" s="9" t="s">
        <v>55</v>
      </c>
      <c r="D336" s="9" t="s">
        <v>269</v>
      </c>
      <c r="E336" s="9" t="s">
        <v>1076</v>
      </c>
      <c r="F336" s="9" t="s">
        <v>339</v>
      </c>
      <c r="G336" s="10" t="s">
        <v>79</v>
      </c>
      <c r="H336" s="10" t="s">
        <v>91</v>
      </c>
      <c r="I336" s="11" t="n">
        <v>1</v>
      </c>
      <c r="J336" s="9" t="s">
        <v>340</v>
      </c>
      <c r="K336" s="10" t="s">
        <v>352</v>
      </c>
      <c r="L336" s="10" t="s">
        <v>243</v>
      </c>
      <c r="M336" s="10" t="s">
        <v>271</v>
      </c>
      <c r="N336" s="15"/>
      <c r="O336" s="10"/>
    </row>
    <row r="337" customFormat="false" ht="29.85" hidden="false" customHeight="false" outlineLevel="0" collapsed="false">
      <c r="A337" s="9" t="s">
        <v>1077</v>
      </c>
      <c r="B337" s="10" t="s">
        <v>350</v>
      </c>
      <c r="C337" s="9" t="s">
        <v>55</v>
      </c>
      <c r="D337" s="9" t="s">
        <v>269</v>
      </c>
      <c r="E337" s="9" t="s">
        <v>1078</v>
      </c>
      <c r="F337" s="9" t="s">
        <v>339</v>
      </c>
      <c r="G337" s="10" t="s">
        <v>75</v>
      </c>
      <c r="H337" s="10" t="s">
        <v>91</v>
      </c>
      <c r="I337" s="11" t="n">
        <v>1</v>
      </c>
      <c r="J337" s="9" t="s">
        <v>340</v>
      </c>
      <c r="K337" s="10" t="s">
        <v>344</v>
      </c>
      <c r="L337" s="10" t="s">
        <v>243</v>
      </c>
      <c r="M337" s="10" t="s">
        <v>271</v>
      </c>
      <c r="N337" s="15"/>
      <c r="O337" s="10"/>
    </row>
    <row r="338" customFormat="false" ht="29.85" hidden="false" customHeight="false" outlineLevel="0" collapsed="false">
      <c r="A338" s="9" t="s">
        <v>1079</v>
      </c>
      <c r="B338" s="10" t="s">
        <v>350</v>
      </c>
      <c r="C338" s="9" t="s">
        <v>55</v>
      </c>
      <c r="D338" s="9" t="s">
        <v>273</v>
      </c>
      <c r="E338" s="9" t="s">
        <v>1080</v>
      </c>
      <c r="F338" s="9" t="s">
        <v>339</v>
      </c>
      <c r="G338" s="10" t="s">
        <v>77</v>
      </c>
      <c r="H338" s="10" t="s">
        <v>131</v>
      </c>
      <c r="I338" s="11" t="n">
        <v>1</v>
      </c>
      <c r="J338" s="9" t="s">
        <v>340</v>
      </c>
      <c r="K338" s="10" t="s">
        <v>341</v>
      </c>
      <c r="L338" s="10" t="s">
        <v>277</v>
      </c>
      <c r="M338" s="10" t="s">
        <v>275</v>
      </c>
      <c r="N338" s="15"/>
      <c r="O338" s="10"/>
    </row>
    <row r="339" customFormat="false" ht="15" hidden="false" customHeight="false" outlineLevel="0" collapsed="false">
      <c r="A339" s="9" t="s">
        <v>1081</v>
      </c>
      <c r="B339" s="10" t="s">
        <v>350</v>
      </c>
      <c r="C339" s="9" t="s">
        <v>55</v>
      </c>
      <c r="D339" s="9" t="s">
        <v>273</v>
      </c>
      <c r="E339" s="9" t="s">
        <v>1082</v>
      </c>
      <c r="F339" s="9" t="s">
        <v>339</v>
      </c>
      <c r="G339" s="10" t="s">
        <v>79</v>
      </c>
      <c r="H339" s="10" t="s">
        <v>131</v>
      </c>
      <c r="I339" s="11" t="n">
        <v>1</v>
      </c>
      <c r="J339" s="9" t="s">
        <v>340</v>
      </c>
      <c r="K339" s="10" t="s">
        <v>352</v>
      </c>
      <c r="L339" s="10" t="s">
        <v>277</v>
      </c>
      <c r="M339" s="10" t="s">
        <v>275</v>
      </c>
      <c r="N339" s="15"/>
      <c r="O339" s="10"/>
    </row>
    <row r="340" customFormat="false" ht="29.85" hidden="false" customHeight="false" outlineLevel="0" collapsed="false">
      <c r="A340" s="9" t="s">
        <v>1083</v>
      </c>
      <c r="B340" s="10" t="s">
        <v>350</v>
      </c>
      <c r="C340" s="9" t="s">
        <v>55</v>
      </c>
      <c r="D340" s="9" t="s">
        <v>273</v>
      </c>
      <c r="E340" s="9" t="s">
        <v>1084</v>
      </c>
      <c r="F340" s="9" t="s">
        <v>1085</v>
      </c>
      <c r="G340" s="10" t="s">
        <v>77</v>
      </c>
      <c r="H340" s="10" t="s">
        <v>131</v>
      </c>
      <c r="I340" s="11" t="n">
        <v>4</v>
      </c>
      <c r="J340" s="9" t="s">
        <v>340</v>
      </c>
      <c r="K340" s="10" t="s">
        <v>341</v>
      </c>
      <c r="L340" s="10" t="s">
        <v>277</v>
      </c>
      <c r="M340" s="10" t="s">
        <v>275</v>
      </c>
      <c r="N340" s="15"/>
      <c r="O340" s="10"/>
    </row>
    <row r="341" customFormat="false" ht="29.85" hidden="false" customHeight="false" outlineLevel="0" collapsed="false">
      <c r="A341" s="9" t="s">
        <v>1086</v>
      </c>
      <c r="B341" s="10" t="s">
        <v>350</v>
      </c>
      <c r="C341" s="9" t="s">
        <v>55</v>
      </c>
      <c r="D341" s="9" t="s">
        <v>278</v>
      </c>
      <c r="E341" s="9" t="s">
        <v>1087</v>
      </c>
      <c r="F341" s="9" t="s">
        <v>1088</v>
      </c>
      <c r="G341" s="10" t="s">
        <v>77</v>
      </c>
      <c r="H341" s="10" t="s">
        <v>131</v>
      </c>
      <c r="I341" s="11" t="n">
        <v>4</v>
      </c>
      <c r="J341" s="9" t="s">
        <v>340</v>
      </c>
      <c r="K341" s="10" t="s">
        <v>341</v>
      </c>
      <c r="L341" s="10" t="s">
        <v>282</v>
      </c>
      <c r="M341" s="10" t="s">
        <v>280</v>
      </c>
      <c r="N341" s="15"/>
      <c r="O341" s="10"/>
    </row>
    <row r="342" customFormat="false" ht="15" hidden="false" customHeight="false" outlineLevel="0" collapsed="false">
      <c r="A342" s="9" t="s">
        <v>1089</v>
      </c>
      <c r="B342" s="10" t="s">
        <v>350</v>
      </c>
      <c r="C342" s="9" t="s">
        <v>55</v>
      </c>
      <c r="D342" s="9" t="s">
        <v>278</v>
      </c>
      <c r="E342" s="9" t="s">
        <v>1090</v>
      </c>
      <c r="F342" s="9" t="s">
        <v>339</v>
      </c>
      <c r="G342" s="10" t="s">
        <v>79</v>
      </c>
      <c r="H342" s="10" t="s">
        <v>131</v>
      </c>
      <c r="I342" s="11" t="n">
        <v>1</v>
      </c>
      <c r="J342" s="9" t="s">
        <v>340</v>
      </c>
      <c r="K342" s="10" t="s">
        <v>352</v>
      </c>
      <c r="L342" s="10" t="s">
        <v>282</v>
      </c>
      <c r="M342" s="10" t="s">
        <v>280</v>
      </c>
      <c r="N342" s="15"/>
      <c r="O342" s="10"/>
    </row>
    <row r="343" customFormat="false" ht="15" hidden="false" customHeight="false" outlineLevel="0" collapsed="false">
      <c r="A343" s="9" t="s">
        <v>1091</v>
      </c>
      <c r="B343" s="10" t="s">
        <v>350</v>
      </c>
      <c r="C343" s="9" t="s">
        <v>55</v>
      </c>
      <c r="D343" s="9" t="s">
        <v>278</v>
      </c>
      <c r="E343" s="9" t="s">
        <v>1092</v>
      </c>
      <c r="F343" s="9" t="s">
        <v>339</v>
      </c>
      <c r="G343" s="10" t="s">
        <v>76</v>
      </c>
      <c r="H343" s="10" t="s">
        <v>131</v>
      </c>
      <c r="I343" s="11" t="n">
        <v>1</v>
      </c>
      <c r="J343" s="9" t="s">
        <v>340</v>
      </c>
      <c r="K343" s="10" t="s">
        <v>348</v>
      </c>
      <c r="L343" s="10" t="s">
        <v>282</v>
      </c>
      <c r="M343" s="10" t="s">
        <v>280</v>
      </c>
      <c r="N343" s="15"/>
      <c r="O343" s="10"/>
    </row>
    <row r="344" customFormat="false" ht="29.85" hidden="false" customHeight="false" outlineLevel="0" collapsed="false">
      <c r="A344" s="9" t="s">
        <v>1093</v>
      </c>
      <c r="B344" s="10" t="s">
        <v>350</v>
      </c>
      <c r="C344" s="9" t="s">
        <v>57</v>
      </c>
      <c r="D344" s="9" t="s">
        <v>283</v>
      </c>
      <c r="E344" s="9" t="s">
        <v>1094</v>
      </c>
      <c r="F344" s="9" t="s">
        <v>1095</v>
      </c>
      <c r="G344" s="10" t="s">
        <v>75</v>
      </c>
      <c r="H344" s="10" t="s">
        <v>91</v>
      </c>
      <c r="I344" s="11" t="n">
        <v>3</v>
      </c>
      <c r="J344" s="9" t="s">
        <v>340</v>
      </c>
      <c r="K344" s="10" t="s">
        <v>344</v>
      </c>
      <c r="L344" s="10" t="s">
        <v>287</v>
      </c>
      <c r="M344" s="10" t="s">
        <v>285</v>
      </c>
      <c r="N344" s="15"/>
      <c r="O344" s="10"/>
    </row>
    <row r="345" customFormat="false" ht="15" hidden="false" customHeight="false" outlineLevel="0" collapsed="false">
      <c r="A345" s="9" t="s">
        <v>1096</v>
      </c>
      <c r="B345" s="10" t="s">
        <v>350</v>
      </c>
      <c r="C345" s="9" t="s">
        <v>57</v>
      </c>
      <c r="D345" s="9" t="s">
        <v>283</v>
      </c>
      <c r="E345" s="9" t="s">
        <v>1097</v>
      </c>
      <c r="F345" s="9" t="s">
        <v>339</v>
      </c>
      <c r="G345" s="10" t="s">
        <v>79</v>
      </c>
      <c r="H345" s="10" t="s">
        <v>91</v>
      </c>
      <c r="I345" s="11" t="n">
        <v>1</v>
      </c>
      <c r="J345" s="9" t="s">
        <v>340</v>
      </c>
      <c r="K345" s="10" t="s">
        <v>352</v>
      </c>
      <c r="L345" s="10" t="s">
        <v>287</v>
      </c>
      <c r="M345" s="10" t="s">
        <v>285</v>
      </c>
      <c r="N345" s="15"/>
      <c r="O345" s="10"/>
    </row>
    <row r="346" customFormat="false" ht="29.85" hidden="false" customHeight="false" outlineLevel="0" collapsed="false">
      <c r="A346" s="9" t="s">
        <v>1098</v>
      </c>
      <c r="B346" s="10" t="s">
        <v>350</v>
      </c>
      <c r="C346" s="9" t="s">
        <v>57</v>
      </c>
      <c r="D346" s="9" t="s">
        <v>283</v>
      </c>
      <c r="E346" s="9" t="s">
        <v>1099</v>
      </c>
      <c r="F346" s="9" t="s">
        <v>339</v>
      </c>
      <c r="G346" s="10" t="s">
        <v>75</v>
      </c>
      <c r="H346" s="10" t="s">
        <v>97</v>
      </c>
      <c r="I346" s="11" t="n">
        <v>1</v>
      </c>
      <c r="J346" s="9" t="s">
        <v>340</v>
      </c>
      <c r="K346" s="10" t="s">
        <v>344</v>
      </c>
      <c r="L346" s="10" t="s">
        <v>287</v>
      </c>
      <c r="M346" s="10" t="s">
        <v>285</v>
      </c>
      <c r="N346" s="15"/>
      <c r="O346" s="10"/>
    </row>
    <row r="347" customFormat="false" ht="15" hidden="false" customHeight="false" outlineLevel="0" collapsed="false">
      <c r="A347" s="9" t="s">
        <v>1100</v>
      </c>
      <c r="B347" s="10" t="s">
        <v>350</v>
      </c>
      <c r="C347" s="9" t="s">
        <v>57</v>
      </c>
      <c r="D347" s="9" t="s">
        <v>288</v>
      </c>
      <c r="E347" s="9" t="s">
        <v>1101</v>
      </c>
      <c r="F347" s="9" t="s">
        <v>1102</v>
      </c>
      <c r="G347" s="10" t="s">
        <v>76</v>
      </c>
      <c r="H347" s="10" t="s">
        <v>91</v>
      </c>
      <c r="I347" s="11" t="n">
        <v>3</v>
      </c>
      <c r="J347" s="9" t="s">
        <v>340</v>
      </c>
      <c r="K347" s="10" t="s">
        <v>348</v>
      </c>
      <c r="L347" s="10" t="s">
        <v>292</v>
      </c>
      <c r="M347" s="10" t="s">
        <v>290</v>
      </c>
      <c r="N347" s="15"/>
      <c r="O347" s="10"/>
    </row>
    <row r="348" customFormat="false" ht="29.85" hidden="false" customHeight="false" outlineLevel="0" collapsed="false">
      <c r="A348" s="9" t="s">
        <v>1103</v>
      </c>
      <c r="B348" s="10" t="s">
        <v>350</v>
      </c>
      <c r="C348" s="9" t="s">
        <v>57</v>
      </c>
      <c r="D348" s="9" t="s">
        <v>288</v>
      </c>
      <c r="E348" s="9" t="s">
        <v>1104</v>
      </c>
      <c r="F348" s="9" t="s">
        <v>339</v>
      </c>
      <c r="G348" s="10" t="s">
        <v>77</v>
      </c>
      <c r="H348" s="10" t="s">
        <v>91</v>
      </c>
      <c r="I348" s="11" t="n">
        <v>1</v>
      </c>
      <c r="J348" s="9" t="s">
        <v>340</v>
      </c>
      <c r="K348" s="10" t="s">
        <v>341</v>
      </c>
      <c r="L348" s="10" t="s">
        <v>292</v>
      </c>
      <c r="M348" s="10" t="s">
        <v>290</v>
      </c>
      <c r="N348" s="15"/>
      <c r="O348" s="10"/>
    </row>
    <row r="349" customFormat="false" ht="15" hidden="false" customHeight="false" outlineLevel="0" collapsed="false">
      <c r="A349" s="9" t="s">
        <v>1105</v>
      </c>
      <c r="B349" s="10" t="s">
        <v>350</v>
      </c>
      <c r="C349" s="9" t="s">
        <v>57</v>
      </c>
      <c r="D349" s="9" t="s">
        <v>288</v>
      </c>
      <c r="E349" s="9" t="s">
        <v>1106</v>
      </c>
      <c r="F349" s="9" t="s">
        <v>339</v>
      </c>
      <c r="G349" s="10" t="s">
        <v>79</v>
      </c>
      <c r="H349" s="10" t="s">
        <v>91</v>
      </c>
      <c r="I349" s="11" t="n">
        <v>1</v>
      </c>
      <c r="J349" s="9" t="s">
        <v>340</v>
      </c>
      <c r="K349" s="10" t="s">
        <v>352</v>
      </c>
      <c r="L349" s="10" t="s">
        <v>292</v>
      </c>
      <c r="M349" s="10" t="s">
        <v>290</v>
      </c>
      <c r="N349" s="15"/>
      <c r="O349" s="10"/>
    </row>
    <row r="350" customFormat="false" ht="29.85" hidden="false" customHeight="false" outlineLevel="0" collapsed="false">
      <c r="A350" s="9" t="s">
        <v>1107</v>
      </c>
      <c r="B350" s="10" t="s">
        <v>350</v>
      </c>
      <c r="C350" s="9" t="s">
        <v>57</v>
      </c>
      <c r="D350" s="9" t="s">
        <v>288</v>
      </c>
      <c r="E350" s="9" t="s">
        <v>1108</v>
      </c>
      <c r="F350" s="9" t="s">
        <v>1109</v>
      </c>
      <c r="G350" s="10" t="s">
        <v>77</v>
      </c>
      <c r="H350" s="10" t="s">
        <v>97</v>
      </c>
      <c r="I350" s="11" t="n">
        <v>1</v>
      </c>
      <c r="J350" s="9" t="s">
        <v>340</v>
      </c>
      <c r="K350" s="10" t="s">
        <v>341</v>
      </c>
      <c r="L350" s="10" t="s">
        <v>292</v>
      </c>
      <c r="M350" s="10" t="s">
        <v>290</v>
      </c>
      <c r="N350" s="15"/>
      <c r="O350" s="10"/>
    </row>
    <row r="351" customFormat="false" ht="29.85" hidden="false" customHeight="false" outlineLevel="0" collapsed="false">
      <c r="A351" s="9" t="s">
        <v>1110</v>
      </c>
      <c r="B351" s="10" t="s">
        <v>350</v>
      </c>
      <c r="C351" s="9" t="s">
        <v>57</v>
      </c>
      <c r="D351" s="9" t="s">
        <v>293</v>
      </c>
      <c r="E351" s="9" t="s">
        <v>1111</v>
      </c>
      <c r="F351" s="9" t="s">
        <v>983</v>
      </c>
      <c r="G351" s="10" t="s">
        <v>75</v>
      </c>
      <c r="H351" s="10" t="s">
        <v>97</v>
      </c>
      <c r="I351" s="11" t="n">
        <v>2</v>
      </c>
      <c r="J351" s="9" t="s">
        <v>340</v>
      </c>
      <c r="K351" s="10" t="s">
        <v>344</v>
      </c>
      <c r="L351" s="10" t="s">
        <v>297</v>
      </c>
      <c r="M351" s="10" t="s">
        <v>295</v>
      </c>
      <c r="N351" s="15"/>
      <c r="O351" s="10"/>
    </row>
    <row r="352" customFormat="false" ht="29.85" hidden="false" customHeight="false" outlineLevel="0" collapsed="false">
      <c r="A352" s="9" t="s">
        <v>1112</v>
      </c>
      <c r="B352" s="10" t="s">
        <v>350</v>
      </c>
      <c r="C352" s="9" t="s">
        <v>57</v>
      </c>
      <c r="D352" s="9" t="s">
        <v>293</v>
      </c>
      <c r="E352" s="9" t="s">
        <v>1113</v>
      </c>
      <c r="F352" s="9" t="s">
        <v>339</v>
      </c>
      <c r="G352" s="10" t="s">
        <v>77</v>
      </c>
      <c r="H352" s="10" t="s">
        <v>97</v>
      </c>
      <c r="I352" s="11" t="n">
        <v>1</v>
      </c>
      <c r="J352" s="9" t="s">
        <v>340</v>
      </c>
      <c r="K352" s="10" t="s">
        <v>341</v>
      </c>
      <c r="L352" s="10" t="s">
        <v>297</v>
      </c>
      <c r="M352" s="10" t="s">
        <v>295</v>
      </c>
      <c r="N352" s="15"/>
      <c r="O352" s="10"/>
    </row>
    <row r="353" customFormat="false" ht="29.85" hidden="false" customHeight="false" outlineLevel="0" collapsed="false">
      <c r="A353" s="9" t="s">
        <v>1114</v>
      </c>
      <c r="B353" s="10" t="s">
        <v>350</v>
      </c>
      <c r="C353" s="9" t="s">
        <v>57</v>
      </c>
      <c r="D353" s="9" t="s">
        <v>298</v>
      </c>
      <c r="E353" s="9" t="s">
        <v>1115</v>
      </c>
      <c r="F353" s="9" t="s">
        <v>1116</v>
      </c>
      <c r="G353" s="10" t="s">
        <v>75</v>
      </c>
      <c r="H353" s="10" t="s">
        <v>91</v>
      </c>
      <c r="I353" s="11" t="n">
        <v>3</v>
      </c>
      <c r="J353" s="9" t="s">
        <v>340</v>
      </c>
      <c r="K353" s="10" t="s">
        <v>344</v>
      </c>
      <c r="L353" s="10" t="s">
        <v>302</v>
      </c>
      <c r="M353" s="10" t="s">
        <v>300</v>
      </c>
      <c r="N353" s="15"/>
      <c r="O353" s="10"/>
    </row>
    <row r="354" customFormat="false" ht="15" hidden="false" customHeight="false" outlineLevel="0" collapsed="false">
      <c r="A354" s="9" t="s">
        <v>1117</v>
      </c>
      <c r="B354" s="10" t="s">
        <v>350</v>
      </c>
      <c r="C354" s="9" t="s">
        <v>57</v>
      </c>
      <c r="D354" s="9" t="s">
        <v>298</v>
      </c>
      <c r="E354" s="9" t="s">
        <v>1118</v>
      </c>
      <c r="F354" s="9" t="s">
        <v>339</v>
      </c>
      <c r="G354" s="10" t="s">
        <v>79</v>
      </c>
      <c r="H354" s="10" t="s">
        <v>91</v>
      </c>
      <c r="I354" s="11" t="n">
        <v>1</v>
      </c>
      <c r="J354" s="9" t="s">
        <v>340</v>
      </c>
      <c r="K354" s="10" t="s">
        <v>352</v>
      </c>
      <c r="L354" s="10" t="s">
        <v>302</v>
      </c>
      <c r="M354" s="10" t="s">
        <v>300</v>
      </c>
      <c r="N354" s="15"/>
      <c r="O354" s="10"/>
    </row>
    <row r="355" customFormat="false" ht="29.85" hidden="false" customHeight="false" outlineLevel="0" collapsed="false">
      <c r="A355" s="9" t="s">
        <v>1119</v>
      </c>
      <c r="B355" s="10" t="s">
        <v>350</v>
      </c>
      <c r="C355" s="9" t="s">
        <v>47</v>
      </c>
      <c r="D355" s="9" t="s">
        <v>186</v>
      </c>
      <c r="E355" s="9" t="s">
        <v>1120</v>
      </c>
      <c r="F355" s="9" t="s">
        <v>888</v>
      </c>
      <c r="G355" s="10" t="s">
        <v>75</v>
      </c>
      <c r="H355" s="10" t="s">
        <v>91</v>
      </c>
      <c r="I355" s="11" t="n">
        <v>5</v>
      </c>
      <c r="J355" s="9" t="s">
        <v>340</v>
      </c>
      <c r="K355" s="10" t="s">
        <v>344</v>
      </c>
      <c r="L355" s="10" t="s">
        <v>190</v>
      </c>
      <c r="M355" s="10" t="s">
        <v>188</v>
      </c>
      <c r="N355" s="15"/>
      <c r="O355" s="10"/>
    </row>
    <row r="356" customFormat="false" ht="29.85" hidden="false" customHeight="false" outlineLevel="0" collapsed="false">
      <c r="A356" s="9" t="s">
        <v>1121</v>
      </c>
      <c r="B356" s="10" t="s">
        <v>350</v>
      </c>
      <c r="C356" s="9" t="s">
        <v>53</v>
      </c>
      <c r="D356" s="9" t="s">
        <v>244</v>
      </c>
      <c r="E356" s="9" t="s">
        <v>1122</v>
      </c>
      <c r="F356" s="9" t="s">
        <v>366</v>
      </c>
      <c r="G356" s="10" t="s">
        <v>77</v>
      </c>
      <c r="H356" s="10" t="s">
        <v>97</v>
      </c>
      <c r="I356" s="11" t="n">
        <v>8</v>
      </c>
      <c r="J356" s="9" t="s">
        <v>356</v>
      </c>
      <c r="K356" s="10" t="s">
        <v>341</v>
      </c>
      <c r="L356" s="10" t="s">
        <v>248</v>
      </c>
      <c r="M356" s="10" t="s">
        <v>246</v>
      </c>
      <c r="N356" s="15"/>
      <c r="O356" s="10"/>
    </row>
    <row r="357" customFormat="false" ht="29.85" hidden="false" customHeight="false" outlineLevel="0" collapsed="false">
      <c r="A357" s="9" t="s">
        <v>1123</v>
      </c>
      <c r="B357" s="10" t="s">
        <v>350</v>
      </c>
      <c r="C357" s="9" t="s">
        <v>59</v>
      </c>
      <c r="D357" s="9" t="s">
        <v>303</v>
      </c>
      <c r="E357" s="9" t="s">
        <v>1124</v>
      </c>
      <c r="F357" s="9" t="s">
        <v>339</v>
      </c>
      <c r="G357" s="10" t="s">
        <v>77</v>
      </c>
      <c r="H357" s="10" t="s">
        <v>91</v>
      </c>
      <c r="I357" s="11" t="n">
        <v>1</v>
      </c>
      <c r="J357" s="9" t="s">
        <v>340</v>
      </c>
      <c r="K357" s="10" t="s">
        <v>341</v>
      </c>
      <c r="L357" s="10" t="s">
        <v>307</v>
      </c>
      <c r="M357" s="10" t="s">
        <v>305</v>
      </c>
      <c r="N357" s="15"/>
      <c r="O357" s="10"/>
    </row>
    <row r="358" customFormat="false" ht="15" hidden="false" customHeight="false" outlineLevel="0" collapsed="false">
      <c r="A358" s="9" t="s">
        <v>1125</v>
      </c>
      <c r="B358" s="10" t="s">
        <v>350</v>
      </c>
      <c r="C358" s="9" t="s">
        <v>59</v>
      </c>
      <c r="D358" s="9" t="s">
        <v>303</v>
      </c>
      <c r="E358" s="9" t="s">
        <v>1126</v>
      </c>
      <c r="F358" s="9" t="s">
        <v>339</v>
      </c>
      <c r="G358" s="10" t="s">
        <v>78</v>
      </c>
      <c r="H358" s="10" t="s">
        <v>91</v>
      </c>
      <c r="I358" s="11" t="n">
        <v>1</v>
      </c>
      <c r="J358" s="9" t="s">
        <v>340</v>
      </c>
      <c r="K358" s="10" t="s">
        <v>367</v>
      </c>
      <c r="L358" s="10" t="s">
        <v>307</v>
      </c>
      <c r="M358" s="10" t="s">
        <v>305</v>
      </c>
      <c r="N358" s="15"/>
      <c r="O358" s="10"/>
    </row>
    <row r="359" customFormat="false" ht="29.85" hidden="false" customHeight="false" outlineLevel="0" collapsed="false">
      <c r="A359" s="9" t="s">
        <v>1127</v>
      </c>
      <c r="B359" s="10" t="s">
        <v>350</v>
      </c>
      <c r="C359" s="9" t="s">
        <v>59</v>
      </c>
      <c r="D359" s="9" t="s">
        <v>303</v>
      </c>
      <c r="E359" s="9" t="s">
        <v>1128</v>
      </c>
      <c r="F359" s="9" t="s">
        <v>339</v>
      </c>
      <c r="G359" s="10" t="s">
        <v>77</v>
      </c>
      <c r="H359" s="10" t="s">
        <v>97</v>
      </c>
      <c r="I359" s="11" t="n">
        <v>1</v>
      </c>
      <c r="J359" s="9" t="s">
        <v>340</v>
      </c>
      <c r="K359" s="10" t="s">
        <v>341</v>
      </c>
      <c r="L359" s="10" t="s">
        <v>307</v>
      </c>
      <c r="M359" s="10" t="s">
        <v>305</v>
      </c>
      <c r="N359" s="15"/>
      <c r="O359" s="10"/>
    </row>
    <row r="360" customFormat="false" ht="15" hidden="false" customHeight="false" outlineLevel="0" collapsed="false">
      <c r="A360" s="9" t="s">
        <v>1129</v>
      </c>
      <c r="B360" s="10" t="s">
        <v>350</v>
      </c>
      <c r="C360" s="9" t="s">
        <v>59</v>
      </c>
      <c r="D360" s="9" t="s">
        <v>308</v>
      </c>
      <c r="E360" s="9" t="s">
        <v>1130</v>
      </c>
      <c r="F360" s="9" t="s">
        <v>339</v>
      </c>
      <c r="G360" s="10" t="s">
        <v>76</v>
      </c>
      <c r="H360" s="10" t="s">
        <v>97</v>
      </c>
      <c r="I360" s="11" t="n">
        <v>1</v>
      </c>
      <c r="J360" s="9" t="s">
        <v>340</v>
      </c>
      <c r="K360" s="10" t="s">
        <v>348</v>
      </c>
      <c r="L360" s="10" t="s">
        <v>312</v>
      </c>
      <c r="M360" s="10" t="s">
        <v>310</v>
      </c>
      <c r="N360" s="15"/>
      <c r="O360" s="10"/>
    </row>
    <row r="361" customFormat="false" ht="15" hidden="false" customHeight="false" outlineLevel="0" collapsed="false">
      <c r="A361" s="13" t="s">
        <v>61</v>
      </c>
      <c r="B361" s="16"/>
      <c r="C361" s="13"/>
      <c r="D361" s="13"/>
      <c r="E361" s="13"/>
      <c r="F361" s="13"/>
      <c r="G361" s="16"/>
      <c r="H361" s="16"/>
      <c r="I361" s="13" t="n">
        <f aca="false">SUM(I4:I360)</f>
        <v>694</v>
      </c>
      <c r="J361" s="16"/>
      <c r="K361" s="13"/>
      <c r="L361" s="13"/>
      <c r="M361" s="13"/>
      <c r="N361" s="13"/>
      <c r="O361" s="13"/>
    </row>
  </sheetData>
  <autoFilter ref="A3:O360"/>
  <dataValidations count="4">
    <dataValidation allowBlank="true" errorStyle="stop" operator="between" showDropDown="false" showErrorMessage="false" showInputMessage="false" sqref="B4:B600" type="list">
      <formula1>"법정,수요,목록"</formula1>
      <formula2>0</formula2>
    </dataValidation>
    <dataValidation allowBlank="true" errorStyle="stop" operator="between" showDropDown="false" showErrorMessage="false" showInputMessage="false" sqref="G4:G600" type="list">
      <formula1>"사실,절차,시간/장소,연락처,금액"</formula1>
      <formula2>0</formula2>
    </dataValidation>
    <dataValidation allowBlank="true" errorStyle="stop" operator="between" showDropDown="false" showErrorMessage="false" showInputMessage="false" sqref="H4:H600" type="list">
      <formula1>"고,중,저"</formula1>
      <formula2>0</formula2>
    </dataValidation>
    <dataValidation allowBlank="true" errorStyle="stop" operator="between" showDropDown="false" showErrorMessage="false" showInputMessage="false" sqref="J4:J600" type="list">
      <formula1>"L1,L2,L3,L4"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60"/>
    <col collapsed="false" customWidth="true" hidden="false" outlineLevel="0" max="4" min="4" style="0" width="8"/>
  </cols>
  <sheetData>
    <row r="1" customFormat="false" ht="21.6" hidden="false" customHeight="false" outlineLevel="0" collapsed="false">
      <c r="A1" s="1" t="s">
        <v>1131</v>
      </c>
    </row>
    <row r="3" customFormat="false" ht="30" hidden="false" customHeight="true" outlineLevel="0" collapsed="false">
      <c r="A3" s="8" t="s">
        <v>327</v>
      </c>
      <c r="B3" s="8" t="s">
        <v>1132</v>
      </c>
      <c r="C3" s="8" t="s">
        <v>1133</v>
      </c>
      <c r="D3" s="8" t="s">
        <v>1134</v>
      </c>
    </row>
    <row r="4" customFormat="false" ht="29.85" hidden="false" customHeight="false" outlineLevel="0" collapsed="false">
      <c r="A4" s="9" t="s">
        <v>1135</v>
      </c>
      <c r="B4" s="10" t="s">
        <v>1136</v>
      </c>
      <c r="C4" s="10" t="s">
        <v>1137</v>
      </c>
      <c r="D4" s="10" t="s">
        <v>1138</v>
      </c>
    </row>
    <row r="5" customFormat="false" ht="29.85" hidden="false" customHeight="false" outlineLevel="0" collapsed="false">
      <c r="A5" s="9" t="s">
        <v>1139</v>
      </c>
      <c r="B5" s="10" t="s">
        <v>1140</v>
      </c>
      <c r="C5" s="10" t="s">
        <v>1141</v>
      </c>
      <c r="D5" s="9" t="s">
        <v>1142</v>
      </c>
    </row>
    <row r="6" customFormat="false" ht="15" hidden="false" customHeight="false" outlineLevel="0" collapsed="false">
      <c r="A6" s="9" t="s">
        <v>1143</v>
      </c>
      <c r="B6" s="10" t="s">
        <v>1144</v>
      </c>
      <c r="C6" s="10" t="s">
        <v>1145</v>
      </c>
      <c r="D6" s="9" t="s">
        <v>1146</v>
      </c>
    </row>
    <row r="7" customFormat="false" ht="15" hidden="false" customHeight="false" outlineLevel="0" collapsed="false">
      <c r="A7" s="9" t="s">
        <v>1147</v>
      </c>
      <c r="B7" s="10" t="s">
        <v>1148</v>
      </c>
      <c r="C7" s="10" t="s">
        <v>1149</v>
      </c>
      <c r="D7" s="9" t="s">
        <v>1146</v>
      </c>
    </row>
    <row r="8" customFormat="false" ht="15" hidden="false" customHeight="false" outlineLevel="0" collapsed="false">
      <c r="A8" s="9" t="s">
        <v>1150</v>
      </c>
      <c r="B8" s="10" t="s">
        <v>1151</v>
      </c>
      <c r="C8" s="9" t="s">
        <v>1152</v>
      </c>
      <c r="D8" s="9" t="s">
        <v>1146</v>
      </c>
    </row>
    <row r="9" customFormat="false" ht="15" hidden="false" customHeight="false" outlineLevel="0" collapsed="false">
      <c r="A9" s="9" t="s">
        <v>1153</v>
      </c>
      <c r="B9" s="10" t="s">
        <v>1154</v>
      </c>
      <c r="C9" s="10" t="s">
        <v>1155</v>
      </c>
      <c r="D9" s="9" t="s">
        <v>1142</v>
      </c>
    </row>
    <row r="10" customFormat="false" ht="15" hidden="false" customHeight="false" outlineLevel="0" collapsed="false">
      <c r="A10" s="9" t="s">
        <v>1156</v>
      </c>
      <c r="B10" s="10" t="s">
        <v>1157</v>
      </c>
      <c r="C10" s="10" t="s">
        <v>1158</v>
      </c>
      <c r="D10" s="9" t="s">
        <v>1159</v>
      </c>
    </row>
    <row r="11" customFormat="false" ht="15" hidden="false" customHeight="false" outlineLevel="0" collapsed="false">
      <c r="A11" s="9" t="s">
        <v>1160</v>
      </c>
      <c r="B11" s="10" t="s">
        <v>1161</v>
      </c>
      <c r="C11" s="10" t="s">
        <v>1162</v>
      </c>
      <c r="D11" s="9" t="s">
        <v>1163</v>
      </c>
    </row>
    <row r="12" customFormat="false" ht="15" hidden="false" customHeight="false" outlineLevel="0" collapsed="false">
      <c r="A12" s="9" t="s">
        <v>1164</v>
      </c>
      <c r="B12" s="10" t="s">
        <v>1165</v>
      </c>
      <c r="C12" s="9" t="s">
        <v>1166</v>
      </c>
      <c r="D12" s="9" t="s">
        <v>1167</v>
      </c>
    </row>
    <row r="13" customFormat="false" ht="15" hidden="false" customHeight="false" outlineLevel="0" collapsed="false">
      <c r="A13" s="9" t="s">
        <v>1168</v>
      </c>
      <c r="B13" s="10" t="s">
        <v>1169</v>
      </c>
      <c r="C13" s="10" t="s">
        <v>1170</v>
      </c>
      <c r="D13" s="9" t="s">
        <v>1171</v>
      </c>
    </row>
    <row r="14" customFormat="false" ht="15" hidden="false" customHeight="false" outlineLevel="0" collapsed="false">
      <c r="A14" s="9" t="s">
        <v>1172</v>
      </c>
      <c r="B14" s="10" t="s">
        <v>1173</v>
      </c>
      <c r="C14" s="10" t="s">
        <v>1174</v>
      </c>
      <c r="D14" s="9" t="s">
        <v>1171</v>
      </c>
    </row>
    <row r="15" customFormat="false" ht="15" hidden="false" customHeight="false" outlineLevel="0" collapsed="false">
      <c r="A15" s="9" t="s">
        <v>1175</v>
      </c>
      <c r="B15" s="10" t="s">
        <v>1176</v>
      </c>
      <c r="C15" s="10" t="s">
        <v>1177</v>
      </c>
      <c r="D15" s="9" t="s">
        <v>1146</v>
      </c>
    </row>
    <row r="16" customFormat="false" ht="15" hidden="false" customHeight="false" outlineLevel="0" collapsed="false">
      <c r="A16" s="9" t="s">
        <v>1178</v>
      </c>
      <c r="B16" s="10" t="s">
        <v>1179</v>
      </c>
      <c r="C16" s="9" t="s">
        <v>1180</v>
      </c>
      <c r="D16" s="9" t="s">
        <v>1146</v>
      </c>
    </row>
    <row r="17" customFormat="false" ht="15" hidden="false" customHeight="false" outlineLevel="0" collapsed="false">
      <c r="A17" s="9" t="s">
        <v>1181</v>
      </c>
      <c r="B17" s="10" t="s">
        <v>1182</v>
      </c>
      <c r="C17" s="10" t="s">
        <v>1183</v>
      </c>
      <c r="D17" s="9" t="s">
        <v>1184</v>
      </c>
    </row>
    <row r="18" customFormat="false" ht="15" hidden="false" customHeight="false" outlineLevel="0" collapsed="false">
      <c r="A18" s="9" t="s">
        <v>1185</v>
      </c>
      <c r="B18" s="10" t="s">
        <v>1186</v>
      </c>
      <c r="C18" s="10" t="s">
        <v>1187</v>
      </c>
      <c r="D18" s="9" t="s">
        <v>1188</v>
      </c>
    </row>
    <row r="19" customFormat="false" ht="15" hidden="false" customHeight="false" outlineLevel="0" collapsed="false">
      <c r="A19" s="9" t="s">
        <v>1189</v>
      </c>
      <c r="B19" s="10" t="s">
        <v>1190</v>
      </c>
      <c r="C19" s="10" t="s">
        <v>1191</v>
      </c>
      <c r="D19" s="9" t="s">
        <v>1192</v>
      </c>
    </row>
    <row r="20" customFormat="false" ht="15" hidden="false" customHeight="false" outlineLevel="0" collapsed="false">
      <c r="A20" s="9" t="s">
        <v>1193</v>
      </c>
      <c r="B20" s="10" t="s">
        <v>1194</v>
      </c>
      <c r="C20" s="10" t="s">
        <v>1195</v>
      </c>
      <c r="D20" s="9" t="s">
        <v>1171</v>
      </c>
    </row>
    <row r="21" customFormat="false" ht="15" hidden="false" customHeight="false" outlineLevel="0" collapsed="false">
      <c r="A21" s="9" t="s">
        <v>1196</v>
      </c>
      <c r="B21" s="10" t="s">
        <v>1197</v>
      </c>
      <c r="C21" s="10" t="s">
        <v>1198</v>
      </c>
      <c r="D21" s="9" t="s">
        <v>1192</v>
      </c>
    </row>
    <row r="22" customFormat="false" ht="15" hidden="false" customHeight="false" outlineLevel="0" collapsed="false">
      <c r="A22" s="9" t="s">
        <v>1199</v>
      </c>
      <c r="B22" s="10" t="s">
        <v>1200</v>
      </c>
      <c r="C22" s="10" t="s">
        <v>1201</v>
      </c>
      <c r="D22" s="9" t="s">
        <v>1184</v>
      </c>
    </row>
    <row r="23" customFormat="false" ht="15" hidden="false" customHeight="false" outlineLevel="0" collapsed="false">
      <c r="A23" s="9" t="s">
        <v>1202</v>
      </c>
      <c r="B23" s="10" t="s">
        <v>1203</v>
      </c>
      <c r="C23" s="10" t="s">
        <v>1204</v>
      </c>
      <c r="D23" s="9" t="s">
        <v>1146</v>
      </c>
    </row>
    <row r="24" customFormat="false" ht="15" hidden="false" customHeight="false" outlineLevel="0" collapsed="false">
      <c r="A24" s="9" t="s">
        <v>1205</v>
      </c>
      <c r="B24" s="10" t="s">
        <v>1206</v>
      </c>
      <c r="C24" s="10" t="s">
        <v>1207</v>
      </c>
      <c r="D24" s="9" t="s">
        <v>1192</v>
      </c>
    </row>
    <row r="25" customFormat="false" ht="15" hidden="false" customHeight="false" outlineLevel="0" collapsed="false">
      <c r="A25" s="9" t="s">
        <v>1208</v>
      </c>
      <c r="B25" s="10" t="s">
        <v>1209</v>
      </c>
      <c r="C25" s="10" t="s">
        <v>1210</v>
      </c>
      <c r="D25" s="9" t="s">
        <v>1184</v>
      </c>
    </row>
    <row r="26" customFormat="false" ht="15" hidden="false" customHeight="false" outlineLevel="0" collapsed="false">
      <c r="A26" s="9" t="s">
        <v>1211</v>
      </c>
      <c r="B26" s="10" t="s">
        <v>1212</v>
      </c>
      <c r="C26" s="10" t="s">
        <v>1213</v>
      </c>
      <c r="D26" s="9" t="s">
        <v>1146</v>
      </c>
    </row>
    <row r="27" customFormat="false" ht="15" hidden="false" customHeight="false" outlineLevel="0" collapsed="false">
      <c r="A27" s="9" t="s">
        <v>1214</v>
      </c>
      <c r="B27" s="10" t="s">
        <v>1215</v>
      </c>
      <c r="C27" s="10" t="s">
        <v>1216</v>
      </c>
      <c r="D27" s="9" t="s">
        <v>1184</v>
      </c>
    </row>
    <row r="28" customFormat="false" ht="15" hidden="false" customHeight="false" outlineLevel="0" collapsed="false">
      <c r="A28" s="9" t="s">
        <v>1217</v>
      </c>
      <c r="B28" s="10" t="s">
        <v>1218</v>
      </c>
      <c r="C28" s="9" t="s">
        <v>1219</v>
      </c>
      <c r="D28" s="9" t="s">
        <v>1146</v>
      </c>
    </row>
    <row r="29" customFormat="false" ht="15" hidden="false" customHeight="false" outlineLevel="0" collapsed="false">
      <c r="A29" s="9" t="s">
        <v>1220</v>
      </c>
      <c r="B29" s="10" t="s">
        <v>1221</v>
      </c>
      <c r="C29" s="10" t="s">
        <v>1222</v>
      </c>
      <c r="D29" s="9" t="s">
        <v>1163</v>
      </c>
    </row>
    <row r="30" customFormat="false" ht="15" hidden="false" customHeight="false" outlineLevel="0" collapsed="false">
      <c r="A30" s="9" t="s">
        <v>1223</v>
      </c>
      <c r="B30" s="10" t="s">
        <v>1224</v>
      </c>
      <c r="C30" s="9" t="s">
        <v>1225</v>
      </c>
      <c r="D30" s="9" t="s">
        <v>1146</v>
      </c>
    </row>
    <row r="31" customFormat="false" ht="15" hidden="false" customHeight="false" outlineLevel="0" collapsed="false">
      <c r="A31" s="9" t="s">
        <v>1226</v>
      </c>
      <c r="B31" s="10" t="s">
        <v>1227</v>
      </c>
      <c r="C31" s="10" t="s">
        <v>1228</v>
      </c>
      <c r="D31" s="9" t="s">
        <v>1192</v>
      </c>
    </row>
    <row r="32" customFormat="false" ht="15" hidden="false" customHeight="false" outlineLevel="0" collapsed="false">
      <c r="A32" s="9" t="s">
        <v>1229</v>
      </c>
      <c r="B32" s="10" t="s">
        <v>1230</v>
      </c>
      <c r="C32" s="9" t="s">
        <v>1231</v>
      </c>
      <c r="D32" s="9" t="s">
        <v>1163</v>
      </c>
    </row>
    <row r="33" customFormat="false" ht="15" hidden="false" customHeight="false" outlineLevel="0" collapsed="false">
      <c r="A33" s="9" t="s">
        <v>1232</v>
      </c>
      <c r="B33" s="10" t="s">
        <v>1233</v>
      </c>
      <c r="C33" s="10" t="s">
        <v>1234</v>
      </c>
      <c r="D33" s="9" t="s">
        <v>1163</v>
      </c>
    </row>
    <row r="34" customFormat="false" ht="15" hidden="false" customHeight="false" outlineLevel="0" collapsed="false">
      <c r="A34" s="9" t="s">
        <v>1235</v>
      </c>
      <c r="B34" s="10" t="s">
        <v>1236</v>
      </c>
      <c r="C34" s="10" t="s">
        <v>1237</v>
      </c>
      <c r="D34" s="9" t="s">
        <v>1192</v>
      </c>
    </row>
    <row r="35" customFormat="false" ht="15" hidden="false" customHeight="false" outlineLevel="0" collapsed="false">
      <c r="A35" s="9" t="s">
        <v>1238</v>
      </c>
      <c r="B35" s="10" t="s">
        <v>1239</v>
      </c>
      <c r="C35" s="10" t="s">
        <v>1240</v>
      </c>
      <c r="D35" s="9" t="s">
        <v>1192</v>
      </c>
    </row>
    <row r="36" customFormat="false" ht="15" hidden="false" customHeight="false" outlineLevel="0" collapsed="false">
      <c r="A36" s="9" t="s">
        <v>1241</v>
      </c>
      <c r="B36" s="10" t="s">
        <v>1242</v>
      </c>
      <c r="C36" s="10" t="s">
        <v>1243</v>
      </c>
      <c r="D36" s="9" t="s">
        <v>1192</v>
      </c>
    </row>
    <row r="37" customFormat="false" ht="15" hidden="false" customHeight="false" outlineLevel="0" collapsed="false">
      <c r="A37" s="9" t="s">
        <v>1244</v>
      </c>
      <c r="B37" s="10" t="s">
        <v>1245</v>
      </c>
      <c r="C37" s="10" t="s">
        <v>1246</v>
      </c>
      <c r="D37" s="9" t="s">
        <v>1192</v>
      </c>
    </row>
    <row r="38" customFormat="false" ht="15" hidden="false" customHeight="false" outlineLevel="0" collapsed="false">
      <c r="A38" s="9" t="s">
        <v>1247</v>
      </c>
      <c r="B38" s="10" t="s">
        <v>1248</v>
      </c>
      <c r="C38" s="10" t="s">
        <v>1249</v>
      </c>
      <c r="D38" s="9" t="s">
        <v>1192</v>
      </c>
    </row>
    <row r="39" customFormat="false" ht="15" hidden="false" customHeight="false" outlineLevel="0" collapsed="false">
      <c r="A39" s="9" t="s">
        <v>1250</v>
      </c>
      <c r="B39" s="10" t="s">
        <v>1251</v>
      </c>
      <c r="C39" s="10" t="s">
        <v>1252</v>
      </c>
      <c r="D39" s="9" t="s">
        <v>1192</v>
      </c>
    </row>
    <row r="40" customFormat="false" ht="15" hidden="false" customHeight="false" outlineLevel="0" collapsed="false">
      <c r="A40" s="9" t="s">
        <v>1253</v>
      </c>
      <c r="B40" s="10" t="s">
        <v>1254</v>
      </c>
      <c r="C40" s="10" t="s">
        <v>1255</v>
      </c>
      <c r="D40" s="9" t="s">
        <v>1146</v>
      </c>
    </row>
    <row r="41" customFormat="false" ht="15" hidden="false" customHeight="false" outlineLevel="0" collapsed="false">
      <c r="A41" s="9" t="s">
        <v>1256</v>
      </c>
      <c r="B41" s="10" t="s">
        <v>1257</v>
      </c>
      <c r="C41" s="10" t="s">
        <v>1258</v>
      </c>
      <c r="D41" s="9" t="s">
        <v>1146</v>
      </c>
    </row>
    <row r="42" customFormat="false" ht="15" hidden="false" customHeight="false" outlineLevel="0" collapsed="false">
      <c r="A42" s="9" t="s">
        <v>1259</v>
      </c>
      <c r="B42" s="10" t="s">
        <v>1260</v>
      </c>
      <c r="C42" s="10" t="s">
        <v>1261</v>
      </c>
      <c r="D42" s="9" t="s">
        <v>1146</v>
      </c>
    </row>
    <row r="43" customFormat="false" ht="15" hidden="false" customHeight="false" outlineLevel="0" collapsed="false">
      <c r="A43" s="9" t="s">
        <v>1262</v>
      </c>
      <c r="B43" s="10" t="s">
        <v>140</v>
      </c>
      <c r="C43" s="9" t="s">
        <v>1263</v>
      </c>
      <c r="D43" s="9" t="s">
        <v>1146</v>
      </c>
    </row>
    <row r="44" customFormat="false" ht="15" hidden="false" customHeight="false" outlineLevel="0" collapsed="false">
      <c r="A44" s="9" t="s">
        <v>1264</v>
      </c>
      <c r="B44" s="10" t="s">
        <v>1265</v>
      </c>
      <c r="C44" s="10" t="s">
        <v>1266</v>
      </c>
      <c r="D44" s="9" t="s">
        <v>1184</v>
      </c>
    </row>
    <row r="45" customFormat="false" ht="15" hidden="false" customHeight="false" outlineLevel="0" collapsed="false">
      <c r="A45" s="9" t="s">
        <v>1267</v>
      </c>
      <c r="B45" s="10" t="s">
        <v>1268</v>
      </c>
      <c r="C45" s="10" t="s">
        <v>1269</v>
      </c>
      <c r="D45" s="9" t="s">
        <v>1192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54"/>
    <col collapsed="false" customWidth="true" hidden="false" outlineLevel="0" max="4" min="4" style="0" width="40"/>
  </cols>
  <sheetData>
    <row r="1" customFormat="false" ht="21.6" hidden="false" customHeight="false" outlineLevel="0" collapsed="false">
      <c r="A1" s="1" t="s">
        <v>1270</v>
      </c>
    </row>
    <row r="3" customFormat="false" ht="30" hidden="false" customHeight="true" outlineLevel="0" collapsed="false">
      <c r="A3" s="8" t="s">
        <v>1271</v>
      </c>
      <c r="B3" s="8" t="s">
        <v>1272</v>
      </c>
      <c r="C3" s="8" t="s">
        <v>1273</v>
      </c>
      <c r="D3" s="8" t="s">
        <v>1274</v>
      </c>
    </row>
    <row r="4" customFormat="false" ht="15" hidden="false" customHeight="false" outlineLevel="0" collapsed="false">
      <c r="A4" s="10" t="s">
        <v>1275</v>
      </c>
      <c r="B4" s="11" t="n">
        <v>0.7</v>
      </c>
      <c r="C4" s="10" t="s">
        <v>1276</v>
      </c>
      <c r="D4" s="10" t="s">
        <v>1277</v>
      </c>
    </row>
    <row r="5" customFormat="false" ht="15" hidden="false" customHeight="false" outlineLevel="0" collapsed="false">
      <c r="A5" s="10" t="s">
        <v>1278</v>
      </c>
      <c r="B5" s="11" t="n">
        <v>0.9</v>
      </c>
      <c r="C5" s="10" t="s">
        <v>1279</v>
      </c>
      <c r="D5" s="10" t="s">
        <v>1280</v>
      </c>
    </row>
    <row r="6" customFormat="false" ht="15" hidden="false" customHeight="false" outlineLevel="0" collapsed="false">
      <c r="A6" s="10" t="s">
        <v>1281</v>
      </c>
      <c r="B6" s="11" t="n">
        <v>2</v>
      </c>
      <c r="C6" s="9" t="s">
        <v>1282</v>
      </c>
      <c r="D6" s="10" t="s">
        <v>1283</v>
      </c>
    </row>
    <row r="7" customFormat="false" ht="29.85" hidden="false" customHeight="false" outlineLevel="0" collapsed="false">
      <c r="A7" s="10" t="s">
        <v>1284</v>
      </c>
      <c r="B7" s="11" t="n">
        <v>1</v>
      </c>
      <c r="C7" s="10" t="s">
        <v>1285</v>
      </c>
      <c r="D7" s="10" t="s">
        <v>1286</v>
      </c>
    </row>
    <row r="8" customFormat="false" ht="44" hidden="false" customHeight="false" outlineLevel="0" collapsed="false">
      <c r="A8" s="10" t="s">
        <v>1287</v>
      </c>
      <c r="B8" s="11" t="n">
        <v>1</v>
      </c>
      <c r="C8" s="10" t="s">
        <v>1288</v>
      </c>
      <c r="D8" s="10" t="s">
        <v>1289</v>
      </c>
    </row>
    <row r="9" customFormat="false" ht="29.85" hidden="false" customHeight="false" outlineLevel="0" collapsed="false">
      <c r="A9" s="10" t="s">
        <v>1290</v>
      </c>
      <c r="B9" s="11" t="n">
        <v>5</v>
      </c>
      <c r="C9" s="10" t="s">
        <v>1291</v>
      </c>
      <c r="D9" s="9" t="s">
        <v>339</v>
      </c>
    </row>
    <row r="10" customFormat="false" ht="29.85" hidden="false" customHeight="false" outlineLevel="0" collapsed="false">
      <c r="A10" s="10" t="s">
        <v>1292</v>
      </c>
      <c r="B10" s="11" t="n">
        <v>900</v>
      </c>
      <c r="C10" s="10" t="s">
        <v>1293</v>
      </c>
      <c r="D10" s="9" t="s">
        <v>339</v>
      </c>
    </row>
    <row r="11" customFormat="false" ht="15" hidden="false" customHeight="false" outlineLevel="0" collapsed="false">
      <c r="A11" s="3" t="s">
        <v>1294</v>
      </c>
    </row>
    <row r="12" customFormat="false" ht="15" hidden="false" customHeight="false" outlineLevel="0" collapsed="false">
      <c r="A12" s="7" t="s">
        <v>1295</v>
      </c>
      <c r="B12" s="17" t="n">
        <f aca="false">'템플릿 문항'!I361*B9*9+B10*9</f>
        <v>39330</v>
      </c>
    </row>
    <row r="13" customFormat="false" ht="15" hidden="false" customHeight="false" outlineLevel="0" collapsed="false">
      <c r="A13" s="7" t="s">
        <v>1296</v>
      </c>
      <c r="B13" s="18" t="n">
        <f aca="false">B12*B14</f>
        <v>959.652</v>
      </c>
    </row>
    <row r="14" customFormat="false" ht="15" hidden="false" customHeight="false" outlineLevel="0" collapsed="false">
      <c r="A14" s="7" t="s">
        <v>1297</v>
      </c>
      <c r="B14" s="19" t="n">
        <v>0.0244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4"/>
    <col collapsed="false" customWidth="true" hidden="false" outlineLevel="0" max="3" min="3" style="0" width="9"/>
    <col collapsed="false" customWidth="true" hidden="false" outlineLevel="0" max="5" min="4" style="0" width="12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2" min="11" style="0" width="9"/>
    <col collapsed="false" customWidth="true" hidden="false" outlineLevel="0" max="13" min="13" style="0" width="10"/>
    <col collapsed="false" customWidth="true" hidden="false" outlineLevel="0" max="14" min="14" style="0" width="9"/>
    <col collapsed="false" customWidth="true" hidden="false" outlineLevel="0" max="15" min="15" style="0" width="12"/>
  </cols>
  <sheetData>
    <row r="1" customFormat="false" ht="17.35" hidden="false" customHeight="false" outlineLevel="0" collapsed="false">
      <c r="A1" s="1" t="s">
        <v>1298</v>
      </c>
    </row>
    <row r="2" customFormat="false" ht="15" hidden="false" customHeight="false" outlineLevel="0" collapsed="false">
      <c r="A2" s="2" t="s">
        <v>1299</v>
      </c>
    </row>
    <row r="4" customFormat="false" ht="30" hidden="false" customHeight="true" outlineLevel="0" collapsed="false">
      <c r="A4" s="8" t="s">
        <v>324</v>
      </c>
      <c r="B4" s="8" t="s">
        <v>326</v>
      </c>
      <c r="C4" s="8" t="s">
        <v>329</v>
      </c>
      <c r="D4" s="8" t="s">
        <v>1300</v>
      </c>
      <c r="E4" s="8" t="s">
        <v>1301</v>
      </c>
      <c r="F4" s="8" t="s">
        <v>1302</v>
      </c>
      <c r="G4" s="8" t="s">
        <v>1303</v>
      </c>
      <c r="H4" s="8" t="s">
        <v>1304</v>
      </c>
      <c r="I4" s="8" t="s">
        <v>1305</v>
      </c>
      <c r="J4" s="8" t="s">
        <v>1306</v>
      </c>
      <c r="K4" s="8" t="s">
        <v>1307</v>
      </c>
      <c r="L4" s="8" t="s">
        <v>1308</v>
      </c>
      <c r="M4" s="8" t="s">
        <v>1309</v>
      </c>
      <c r="N4" s="8" t="s">
        <v>1310</v>
      </c>
      <c r="O4" s="8" t="s">
        <v>1311</v>
      </c>
    </row>
    <row r="5" customFormat="false" ht="15" hidden="false" customHeight="false" outlineLevel="0" collapsed="false">
      <c r="A5" s="10" t="str">
        <f aca="false">'템플릿 문항'!A4</f>
        <v>Q001</v>
      </c>
      <c r="B5" s="10" t="str">
        <f aca="false">'템플릿 문항'!E4</f>
        <v>{지자체}로 이사했는데 전입신고는 어디서 하나요?</v>
      </c>
      <c r="C5" s="10" t="str">
        <f aca="false">'템플릿 문항'!H4</f>
        <v>중</v>
      </c>
      <c r="D5" s="20" t="s">
        <v>1312</v>
      </c>
      <c r="E5" s="20" t="s">
        <v>1312</v>
      </c>
      <c r="F5" s="21" t="n">
        <v>0.95</v>
      </c>
      <c r="G5" s="21" t="n">
        <v>1</v>
      </c>
      <c r="H5" s="21" t="n">
        <v>3</v>
      </c>
      <c r="I5" s="21" t="n">
        <v>5</v>
      </c>
      <c r="J5" s="20" t="s">
        <v>1313</v>
      </c>
      <c r="K5" s="10" t="str">
        <f aca="false">IF(OR(D5="",E5=""),"",IF(AND(D5="적합",E5="적합"),"통과","미달"))</f>
        <v>통과</v>
      </c>
      <c r="L5" s="10" t="str">
        <f aca="false">IF(F5="","",IF(F5&gt;='검증 기준'!$B$5,"통과","미달"))</f>
        <v>통과</v>
      </c>
      <c r="M5" s="10" t="str">
        <f aca="false">IF(G5="","",IF(G5&lt;='검증 기준'!$B$6,"통과","불안정"))</f>
        <v>통과</v>
      </c>
      <c r="N5" s="10" t="str">
        <f aca="false">IF(OR(H5="",I5=""),"",IF(OR(AND(H5&gt;='검증 기준'!$B$7,H5&lt;=I5-'검증 기준'!$B$8),C5="고"),"통과","예비"))</f>
        <v>통과</v>
      </c>
      <c r="O5" s="10" t="str">
        <f aca="false">IF(J5="예","공급 공백",IF(OR(K5="",L5="",M5="",N5=""),"",IF(AND(K5="통과",L5="통과",N5="통과"),IF(M5="통과","패널","패널(불안정)"),IF(N5="예비","예비","제외"))))</f>
        <v>패널</v>
      </c>
    </row>
    <row r="6" customFormat="false" ht="15" hidden="false" customHeight="false" outlineLevel="0" collapsed="false">
      <c r="A6" s="10" t="str">
        <f aca="false">'템플릿 문항'!A5</f>
        <v>Q002</v>
      </c>
      <c r="B6" s="10" t="str">
        <f aca="false">'템플릿 문항'!E5</f>
        <v>{지자체} 전입신고를 온라인으로 할 수 있나요?</v>
      </c>
      <c r="C6" s="10" t="str">
        <f aca="false">'템플릿 문항'!H5</f>
        <v>중</v>
      </c>
      <c r="D6" s="20"/>
      <c r="E6" s="20"/>
      <c r="F6" s="21"/>
      <c r="G6" s="21"/>
      <c r="H6" s="21"/>
      <c r="I6" s="21" t="n">
        <v>5</v>
      </c>
      <c r="J6" s="20"/>
      <c r="K6" s="10" t="str">
        <f aca="false">IF(OR(D6="",E6=""),"",IF(AND(D6="적합",E6="적합"),"통과","미달"))</f>
        <v/>
      </c>
      <c r="L6" s="10" t="str">
        <f aca="false">IF(F6="","",IF(F6&gt;='검증 기준'!$B$5,"통과","미달"))</f>
        <v/>
      </c>
      <c r="M6" s="10" t="str">
        <f aca="false">IF(G6="","",IF(G6&lt;='검증 기준'!$B$6,"통과","불안정"))</f>
        <v/>
      </c>
      <c r="N6" s="10" t="str">
        <f aca="false">IF(OR(H6="",I6=""),"",IF(OR(AND(H6&gt;='검증 기준'!$B$7,H6&lt;=I6-'검증 기준'!$B$8),C6="고"),"통과","예비"))</f>
        <v/>
      </c>
      <c r="O6" s="10" t="str">
        <f aca="false">IF(J6="예","공급 공백",IF(OR(K6="",L6="",M6="",N6=""),"",IF(AND(K6="통과",L6="통과",N6="통과"),IF(M6="통과","패널","패널(불안정)"),IF(N6="예비","예비","제외"))))</f>
        <v/>
      </c>
    </row>
    <row r="7" customFormat="false" ht="15" hidden="false" customHeight="false" outlineLevel="0" collapsed="false">
      <c r="A7" s="10" t="str">
        <f aca="false">'템플릿 문항'!A6</f>
        <v>Q003</v>
      </c>
      <c r="B7" s="10" t="str">
        <f aca="false">'템플릿 문항'!E6</f>
        <v>{지자체} 전입신고 할 때 필요한 서류가 뭔가요?</v>
      </c>
      <c r="C7" s="10" t="str">
        <f aca="false">'템플릿 문항'!H6</f>
        <v>중</v>
      </c>
      <c r="D7" s="20"/>
      <c r="E7" s="20"/>
      <c r="F7" s="21"/>
      <c r="G7" s="21"/>
      <c r="H7" s="21"/>
      <c r="I7" s="21" t="n">
        <v>5</v>
      </c>
      <c r="J7" s="20"/>
      <c r="K7" s="10" t="str">
        <f aca="false">IF(OR(D7="",E7=""),"",IF(AND(D7="적합",E7="적합"),"통과","미달"))</f>
        <v/>
      </c>
      <c r="L7" s="10" t="str">
        <f aca="false">IF(F7="","",IF(F7&gt;='검증 기준'!$B$5,"통과","미달"))</f>
        <v/>
      </c>
      <c r="M7" s="10" t="str">
        <f aca="false">IF(G7="","",IF(G7&lt;='검증 기준'!$B$6,"통과","불안정"))</f>
        <v/>
      </c>
      <c r="N7" s="10" t="str">
        <f aca="false">IF(OR(H7="",I7=""),"",IF(OR(AND(H7&gt;='검증 기준'!$B$7,H7&lt;=I7-'검증 기준'!$B$8),C7="고"),"통과","예비"))</f>
        <v/>
      </c>
      <c r="O7" s="10" t="str">
        <f aca="false">IF(J7="예","공급 공백",IF(OR(K7="",L7="",M7="",N7=""),"",IF(AND(K7="통과",L7="통과",N7="통과"),IF(M7="통과","패널","패널(불안정)"),IF(N7="예비","예비","제외"))))</f>
        <v/>
      </c>
    </row>
    <row r="8" customFormat="false" ht="15" hidden="false" customHeight="false" outlineLevel="0" collapsed="false">
      <c r="A8" s="10" t="str">
        <f aca="false">'템플릿 문항'!A7</f>
        <v>Q004</v>
      </c>
      <c r="B8" s="10" t="str">
        <f aca="false">'템플릿 문항'!E7</f>
        <v>{지자체} 전입신고 기한을 넘기면 과태료가 얼마인가요?</v>
      </c>
      <c r="C8" s="10" t="str">
        <f aca="false">'템플릿 문항'!H7</f>
        <v>고</v>
      </c>
      <c r="D8" s="20"/>
      <c r="E8" s="20"/>
      <c r="F8" s="21"/>
      <c r="G8" s="21"/>
      <c r="H8" s="21"/>
      <c r="I8" s="21" t="n">
        <v>5</v>
      </c>
      <c r="J8" s="20"/>
      <c r="K8" s="10" t="str">
        <f aca="false">IF(OR(D8="",E8=""),"",IF(AND(D8="적합",E8="적합"),"통과","미달"))</f>
        <v/>
      </c>
      <c r="L8" s="10" t="str">
        <f aca="false">IF(F8="","",IF(F8&gt;='검증 기준'!$B$5,"통과","미달"))</f>
        <v/>
      </c>
      <c r="M8" s="10" t="str">
        <f aca="false">IF(G8="","",IF(G8&lt;='검증 기준'!$B$6,"통과","불안정"))</f>
        <v/>
      </c>
      <c r="N8" s="10" t="str">
        <f aca="false">IF(OR(H8="",I8=""),"",IF(OR(AND(H8&gt;='검증 기준'!$B$7,H8&lt;=I8-'검증 기준'!$B$8),C8="고"),"통과","예비"))</f>
        <v/>
      </c>
      <c r="O8" s="10" t="str">
        <f aca="false">IF(J8="예","공급 공백",IF(OR(K8="",L8="",M8="",N8=""),"",IF(AND(K8="통과",L8="통과",N8="통과"),IF(M8="통과","패널","패널(불안정)"),IF(N8="예비","예비","제외"))))</f>
        <v/>
      </c>
    </row>
    <row r="9" customFormat="false" ht="27.6" hidden="false" customHeight="false" outlineLevel="0" collapsed="false">
      <c r="A9" s="10" t="str">
        <f aca="false">'템플릿 문항'!A8</f>
        <v>Q005</v>
      </c>
      <c r="B9" s="10" t="str">
        <f aca="false">'템플릿 문항'!E8</f>
        <v>{지자체} {동} 주민센터 전입신고 가능한 시간이 언제인가요?</v>
      </c>
      <c r="C9" s="10" t="str">
        <f aca="false">'템플릿 문항'!H8</f>
        <v>중</v>
      </c>
      <c r="D9" s="20"/>
      <c r="E9" s="20"/>
      <c r="F9" s="21"/>
      <c r="G9" s="21"/>
      <c r="H9" s="21"/>
      <c r="I9" s="21" t="n">
        <v>5</v>
      </c>
      <c r="J9" s="20"/>
      <c r="K9" s="10" t="str">
        <f aca="false">IF(OR(D9="",E9=""),"",IF(AND(D9="적합",E9="적합"),"통과","미달"))</f>
        <v/>
      </c>
      <c r="L9" s="10" t="str">
        <f aca="false">IF(F9="","",IF(F9&gt;='검증 기준'!$B$5,"통과","미달"))</f>
        <v/>
      </c>
      <c r="M9" s="10" t="str">
        <f aca="false">IF(G9="","",IF(G9&lt;='검증 기준'!$B$6,"통과","불안정"))</f>
        <v/>
      </c>
      <c r="N9" s="10" t="str">
        <f aca="false">IF(OR(H9="",I9=""),"",IF(OR(AND(H9&gt;='검증 기준'!$B$7,H9&lt;=I9-'검증 기준'!$B$8),C9="고"),"통과","예비"))</f>
        <v/>
      </c>
      <c r="O9" s="10" t="str">
        <f aca="false">IF(J9="예","공급 공백",IF(OR(K9="",L9="",M9="",N9=""),"",IF(AND(K9="통과",L9="통과",N9="통과"),IF(M9="통과","패널","패널(불안정)"),IF(N9="예비","예비","제외"))))</f>
        <v/>
      </c>
    </row>
    <row r="10" customFormat="false" ht="15" hidden="false" customHeight="false" outlineLevel="0" collapsed="false">
      <c r="A10" s="10" t="str">
        <f aca="false">'템플릿 문항'!A9</f>
        <v>Q006</v>
      </c>
      <c r="B10" s="10" t="str">
        <f aca="false">'템플릿 문항'!E9</f>
        <v>{지자체} 무인민원발급기는 어디에 있나요?</v>
      </c>
      <c r="C10" s="10" t="str">
        <f aca="false">'템플릿 문항'!H9</f>
        <v>저</v>
      </c>
      <c r="D10" s="20"/>
      <c r="E10" s="20"/>
      <c r="F10" s="21"/>
      <c r="G10" s="21"/>
      <c r="H10" s="21"/>
      <c r="I10" s="21" t="n">
        <v>5</v>
      </c>
      <c r="J10" s="20"/>
      <c r="K10" s="10" t="str">
        <f aca="false">IF(OR(D10="",E10=""),"",IF(AND(D10="적합",E10="적합"),"통과","미달"))</f>
        <v/>
      </c>
      <c r="L10" s="10" t="str">
        <f aca="false">IF(F10="","",IF(F10&gt;='검증 기준'!$B$5,"통과","미달"))</f>
        <v/>
      </c>
      <c r="M10" s="10" t="str">
        <f aca="false">IF(G10="","",IF(G10&lt;='검증 기준'!$B$6,"통과","불안정"))</f>
        <v/>
      </c>
      <c r="N10" s="10" t="str">
        <f aca="false">IF(OR(H10="",I10=""),"",IF(OR(AND(H10&gt;='검증 기준'!$B$7,H10&lt;=I10-'검증 기준'!$B$8),C10="고"),"통과","예비"))</f>
        <v/>
      </c>
      <c r="O10" s="10" t="str">
        <f aca="false">IF(J10="예","공급 공백",IF(OR(K10="",L10="",M10="",N10=""),"",IF(AND(K10="통과",L10="통과",N10="통과"),IF(M10="통과","패널","패널(불안정)"),IF(N10="예비","예비","제외"))))</f>
        <v/>
      </c>
    </row>
    <row r="11" customFormat="false" ht="15" hidden="false" customHeight="false" outlineLevel="0" collapsed="false">
      <c r="A11" s="10" t="str">
        <f aca="false">'템플릿 문항'!A10</f>
        <v>Q007</v>
      </c>
      <c r="B11" s="10" t="str">
        <f aca="false">'템플릿 문항'!E10</f>
        <v>{지자체} 주민등록등본 발급 수수료는 얼마인가요?</v>
      </c>
      <c r="C11" s="10" t="str">
        <f aca="false">'템플릿 문항'!H10</f>
        <v>저</v>
      </c>
      <c r="D11" s="20"/>
      <c r="E11" s="20"/>
      <c r="F11" s="21"/>
      <c r="G11" s="21"/>
      <c r="H11" s="21"/>
      <c r="I11" s="21" t="n">
        <v>5</v>
      </c>
      <c r="J11" s="20"/>
      <c r="K11" s="10" t="str">
        <f aca="false">IF(OR(D11="",E11=""),"",IF(AND(D11="적합",E11="적합"),"통과","미달"))</f>
        <v/>
      </c>
      <c r="L11" s="10" t="str">
        <f aca="false">IF(F11="","",IF(F11&gt;='검증 기준'!$B$5,"통과","미달"))</f>
        <v/>
      </c>
      <c r="M11" s="10" t="str">
        <f aca="false">IF(G11="","",IF(G11&lt;='검증 기준'!$B$6,"통과","불안정"))</f>
        <v/>
      </c>
      <c r="N11" s="10" t="str">
        <f aca="false">IF(OR(H11="",I11=""),"",IF(OR(AND(H11&gt;='검증 기준'!$B$7,H11&lt;=I11-'검증 기준'!$B$8),C11="고"),"통과","예비"))</f>
        <v/>
      </c>
      <c r="O11" s="10" t="str">
        <f aca="false">IF(J11="예","공급 공백",IF(OR(K11="",L11="",M11="",N11=""),"",IF(AND(K11="통과",L11="통과",N11="통과"),IF(M11="통과","패널","패널(불안정)"),IF(N11="예비","예비","제외"))))</f>
        <v/>
      </c>
    </row>
    <row r="12" customFormat="false" ht="15" hidden="false" customHeight="false" outlineLevel="0" collapsed="false">
      <c r="A12" s="10" t="str">
        <f aca="false">'템플릿 문항'!A11</f>
        <v>Q008</v>
      </c>
      <c r="B12" s="10" t="str">
        <f aca="false">'템플릿 문항'!E11</f>
        <v>{지자체} 주민센터 토요일에도 등본 뗄 수 있나요?</v>
      </c>
      <c r="C12" s="10" t="str">
        <f aca="false">'템플릿 문항'!H11</f>
        <v>저</v>
      </c>
      <c r="D12" s="20"/>
      <c r="E12" s="20"/>
      <c r="F12" s="21"/>
      <c r="G12" s="21"/>
      <c r="H12" s="21"/>
      <c r="I12" s="21" t="n">
        <v>5</v>
      </c>
      <c r="J12" s="20"/>
      <c r="K12" s="10" t="str">
        <f aca="false">IF(OR(D12="",E12=""),"",IF(AND(D12="적합",E12="적합"),"통과","미달"))</f>
        <v/>
      </c>
      <c r="L12" s="10" t="str">
        <f aca="false">IF(F12="","",IF(F12&gt;='검증 기준'!$B$5,"통과","미달"))</f>
        <v/>
      </c>
      <c r="M12" s="10" t="str">
        <f aca="false">IF(G12="","",IF(G12&lt;='검증 기준'!$B$6,"통과","불안정"))</f>
        <v/>
      </c>
      <c r="N12" s="10" t="str">
        <f aca="false">IF(OR(H12="",I12=""),"",IF(OR(AND(H12&gt;='검증 기준'!$B$7,H12&lt;=I12-'검증 기준'!$B$8),C12="고"),"통과","예비"))</f>
        <v/>
      </c>
      <c r="O12" s="10" t="str">
        <f aca="false">IF(J12="예","공급 공백",IF(OR(K12="",L12="",M12="",N12=""),"",IF(AND(K12="통과",L12="통과",N12="통과"),IF(M12="통과","패널","패널(불안정)"),IF(N12="예비","예비","제외"))))</f>
        <v/>
      </c>
    </row>
    <row r="13" customFormat="false" ht="15" hidden="false" customHeight="false" outlineLevel="0" collapsed="false">
      <c r="A13" s="10" t="str">
        <f aca="false">'템플릿 문항'!A12</f>
        <v>Q009</v>
      </c>
      <c r="B13" s="10" t="str">
        <f aca="false">'템플릿 문항'!E12</f>
        <v>{지자체} {동} 주민센터 전화번호가 뭔가요?</v>
      </c>
      <c r="C13" s="10" t="str">
        <f aca="false">'템플릿 문항'!H12</f>
        <v>저</v>
      </c>
      <c r="D13" s="20"/>
      <c r="E13" s="20"/>
      <c r="F13" s="21"/>
      <c r="G13" s="21"/>
      <c r="H13" s="21"/>
      <c r="I13" s="21" t="n">
        <v>5</v>
      </c>
      <c r="J13" s="20"/>
      <c r="K13" s="10" t="str">
        <f aca="false">IF(OR(D13="",E13=""),"",IF(AND(D13="적합",E13="적합"),"통과","미달"))</f>
        <v/>
      </c>
      <c r="L13" s="10" t="str">
        <f aca="false">IF(F13="","",IF(F13&gt;='검증 기준'!$B$5,"통과","미달"))</f>
        <v/>
      </c>
      <c r="M13" s="10" t="str">
        <f aca="false">IF(G13="","",IF(G13&lt;='검증 기준'!$B$6,"통과","불안정"))</f>
        <v/>
      </c>
      <c r="N13" s="10" t="str">
        <f aca="false">IF(OR(H13="",I13=""),"",IF(OR(AND(H13&gt;='검증 기준'!$B$7,H13&lt;=I13-'검증 기준'!$B$8),C13="고"),"통과","예비"))</f>
        <v/>
      </c>
      <c r="O13" s="10" t="str">
        <f aca="false">IF(J13="예","공급 공백",IF(OR(K13="",L13="",M13="",N13=""),"",IF(AND(K13="통과",L13="통과",N13="통과"),IF(M13="통과","패널","패널(불안정)"),IF(N13="예비","예비","제외"))))</f>
        <v/>
      </c>
    </row>
    <row r="14" customFormat="false" ht="15" hidden="false" customHeight="false" outlineLevel="0" collapsed="false">
      <c r="A14" s="10" t="str">
        <f aca="false">'템플릿 문항'!A13</f>
        <v>Q010</v>
      </c>
      <c r="B14" s="10" t="str">
        <f aca="false">'템플릿 문항'!E13</f>
        <v>{지자체}에서 인감 신고는 어디서 하나요?</v>
      </c>
      <c r="C14" s="10" t="str">
        <f aca="false">'템플릿 문항'!H13</f>
        <v>중</v>
      </c>
      <c r="D14" s="20"/>
      <c r="E14" s="20"/>
      <c r="F14" s="21"/>
      <c r="G14" s="21"/>
      <c r="H14" s="21"/>
      <c r="I14" s="21" t="n">
        <v>5</v>
      </c>
      <c r="J14" s="20"/>
      <c r="K14" s="10" t="str">
        <f aca="false">IF(OR(D14="",E14=""),"",IF(AND(D14="적합",E14="적합"),"통과","미달"))</f>
        <v/>
      </c>
      <c r="L14" s="10" t="str">
        <f aca="false">IF(F14="","",IF(F14&gt;='검증 기준'!$B$5,"통과","미달"))</f>
        <v/>
      </c>
      <c r="M14" s="10" t="str">
        <f aca="false">IF(G14="","",IF(G14&lt;='검증 기준'!$B$6,"통과","불안정"))</f>
        <v/>
      </c>
      <c r="N14" s="10" t="str">
        <f aca="false">IF(OR(H14="",I14=""),"",IF(OR(AND(H14&gt;='검증 기준'!$B$7,H14&lt;=I14-'검증 기준'!$B$8),C14="고"),"통과","예비"))</f>
        <v/>
      </c>
      <c r="O14" s="10" t="str">
        <f aca="false">IF(J14="예","공급 공백",IF(OR(K14="",L14="",M14="",N14=""),"",IF(AND(K14="통과",L14="통과",N14="통과"),IF(M14="통과","패널","패널(불안정)"),IF(N14="예비","예비","제외"))))</f>
        <v/>
      </c>
    </row>
    <row r="15" customFormat="false" ht="29.85" hidden="false" customHeight="false" outlineLevel="0" collapsed="false">
      <c r="A15" s="10" t="str">
        <f aca="false">'템플릿 문항'!A14</f>
        <v>Q011</v>
      </c>
      <c r="B15" s="10" t="str">
        <f aca="false">'템플릿 문항'!E14</f>
        <v>{지자체} 본인서명사실확인서 발급받으려면 뭐가 필요한가요?</v>
      </c>
      <c r="C15" s="10" t="str">
        <f aca="false">'템플릿 문항'!H14</f>
        <v>중</v>
      </c>
      <c r="D15" s="20"/>
      <c r="E15" s="20"/>
      <c r="F15" s="21"/>
      <c r="G15" s="21"/>
      <c r="H15" s="21"/>
      <c r="I15" s="21" t="n">
        <v>5</v>
      </c>
      <c r="J15" s="20"/>
      <c r="K15" s="10" t="str">
        <f aca="false">IF(OR(D15="",E15=""),"",IF(AND(D15="적합",E15="적합"),"통과","미달"))</f>
        <v/>
      </c>
      <c r="L15" s="10" t="str">
        <f aca="false">IF(F15="","",IF(F15&gt;='검증 기준'!$B$5,"통과","미달"))</f>
        <v/>
      </c>
      <c r="M15" s="10" t="str">
        <f aca="false">IF(G15="","",IF(G15&lt;='검증 기준'!$B$6,"통과","불안정"))</f>
        <v/>
      </c>
      <c r="N15" s="10" t="str">
        <f aca="false">IF(OR(H15="",I15=""),"",IF(OR(AND(H15&gt;='검증 기준'!$B$7,H15&lt;=I15-'검증 기준'!$B$8),C15="고"),"통과","예비"))</f>
        <v/>
      </c>
      <c r="O15" s="10" t="str">
        <f aca="false">IF(J15="예","공급 공백",IF(OR(K15="",L15="",M15="",N15=""),"",IF(AND(K15="통과",L15="통과",N15="통과"),IF(M15="통과","패널","패널(불안정)"),IF(N15="예비","예비","제외"))))</f>
        <v/>
      </c>
    </row>
    <row r="16" customFormat="false" ht="15" hidden="false" customHeight="false" outlineLevel="0" collapsed="false">
      <c r="A16" s="10" t="str">
        <f aca="false">'템플릿 문항'!A15</f>
        <v>Q012</v>
      </c>
      <c r="B16" s="10" t="str">
        <f aca="false">'템플릿 문항'!E15</f>
        <v>{지자체} 인감증명서 대리 발급 가능한가요?</v>
      </c>
      <c r="C16" s="10" t="str">
        <f aca="false">'템플릿 문항'!H15</f>
        <v>중</v>
      </c>
      <c r="D16" s="20"/>
      <c r="E16" s="20"/>
      <c r="F16" s="21"/>
      <c r="G16" s="21"/>
      <c r="H16" s="21"/>
      <c r="I16" s="21" t="n">
        <v>5</v>
      </c>
      <c r="J16" s="20"/>
      <c r="K16" s="10" t="str">
        <f aca="false">IF(OR(D16="",E16=""),"",IF(AND(D16="적합",E16="적합"),"통과","미달"))</f>
        <v/>
      </c>
      <c r="L16" s="10" t="str">
        <f aca="false">IF(F16="","",IF(F16&gt;='검증 기준'!$B$5,"통과","미달"))</f>
        <v/>
      </c>
      <c r="M16" s="10" t="str">
        <f aca="false">IF(G16="","",IF(G16&lt;='검증 기준'!$B$6,"통과","불안정"))</f>
        <v/>
      </c>
      <c r="N16" s="10" t="str">
        <f aca="false">IF(OR(H16="",I16=""),"",IF(OR(AND(H16&gt;='검증 기준'!$B$7,H16&lt;=I16-'검증 기준'!$B$8),C16="고"),"통과","예비"))</f>
        <v/>
      </c>
      <c r="O16" s="10" t="str">
        <f aca="false">IF(J16="예","공급 공백",IF(OR(K16="",L16="",M16="",N16=""),"",IF(AND(K16="통과",L16="통과",N16="통과"),IF(M16="통과","패널","패널(불안정)"),IF(N16="예비","예비","제외"))))</f>
        <v/>
      </c>
    </row>
    <row r="17" customFormat="false" ht="15" hidden="false" customHeight="false" outlineLevel="0" collapsed="false">
      <c r="A17" s="10" t="str">
        <f aca="false">'템플릿 문항'!A16</f>
        <v>Q013</v>
      </c>
      <c r="B17" s="10" t="str">
        <f aca="false">'템플릿 문항'!E16</f>
        <v>{지자체} 인감증명서 수수료가 얼마인가요?</v>
      </c>
      <c r="C17" s="10" t="str">
        <f aca="false">'템플릿 문항'!H16</f>
        <v>저</v>
      </c>
      <c r="D17" s="20"/>
      <c r="E17" s="20"/>
      <c r="F17" s="21"/>
      <c r="G17" s="21"/>
      <c r="H17" s="21"/>
      <c r="I17" s="21" t="n">
        <v>5</v>
      </c>
      <c r="J17" s="20"/>
      <c r="K17" s="10" t="str">
        <f aca="false">IF(OR(D17="",E17=""),"",IF(AND(D17="적합",E17="적합"),"통과","미달"))</f>
        <v/>
      </c>
      <c r="L17" s="10" t="str">
        <f aca="false">IF(F17="","",IF(F17&gt;='검증 기준'!$B$5,"통과","미달"))</f>
        <v/>
      </c>
      <c r="M17" s="10" t="str">
        <f aca="false">IF(G17="","",IF(G17&lt;='검증 기준'!$B$6,"통과","불안정"))</f>
        <v/>
      </c>
      <c r="N17" s="10" t="str">
        <f aca="false">IF(OR(H17="",I17=""),"",IF(OR(AND(H17&gt;='검증 기준'!$B$7,H17&lt;=I17-'검증 기준'!$B$8),C17="고"),"통과","예비"))</f>
        <v/>
      </c>
      <c r="O17" s="10" t="str">
        <f aca="false">IF(J17="예","공급 공백",IF(OR(K17="",L17="",M17="",N17=""),"",IF(AND(K17="통과",L17="통과",N17="통과"),IF(M17="통과","패널","패널(불안정)"),IF(N17="예비","예비","제외"))))</f>
        <v/>
      </c>
    </row>
    <row r="18" customFormat="false" ht="15" hidden="false" customHeight="false" outlineLevel="0" collapsed="false">
      <c r="A18" s="10" t="str">
        <f aca="false">'템플릿 문항'!A17</f>
        <v>Q014</v>
      </c>
      <c r="B18" s="10" t="str">
        <f aca="false">'템플릿 문항'!E17</f>
        <v>{지자체}에서 여권 신청은 어디서 하나요?</v>
      </c>
      <c r="C18" s="10" t="str">
        <f aca="false">'템플릿 문항'!H17</f>
        <v>중</v>
      </c>
      <c r="D18" s="20"/>
      <c r="E18" s="20"/>
      <c r="F18" s="21"/>
      <c r="G18" s="21"/>
      <c r="H18" s="21"/>
      <c r="I18" s="21" t="n">
        <v>5</v>
      </c>
      <c r="J18" s="20"/>
      <c r="K18" s="10" t="str">
        <f aca="false">IF(OR(D18="",E18=""),"",IF(AND(D18="적합",E18="적합"),"통과","미달"))</f>
        <v/>
      </c>
      <c r="L18" s="10" t="str">
        <f aca="false">IF(F18="","",IF(F18&gt;='검증 기준'!$B$5,"통과","미달"))</f>
        <v/>
      </c>
      <c r="M18" s="10" t="str">
        <f aca="false">IF(G18="","",IF(G18&lt;='검증 기준'!$B$6,"통과","불안정"))</f>
        <v/>
      </c>
      <c r="N18" s="10" t="str">
        <f aca="false">IF(OR(H18="",I18=""),"",IF(OR(AND(H18&gt;='검증 기준'!$B$7,H18&lt;=I18-'검증 기준'!$B$8),C18="고"),"통과","예비"))</f>
        <v/>
      </c>
      <c r="O18" s="10" t="str">
        <f aca="false">IF(J18="예","공급 공백",IF(OR(K18="",L18="",M18="",N18=""),"",IF(AND(K18="통과",L18="통과",N18="통과"),IF(M18="통과","패널","패널(불안정)"),IF(N18="예비","예비","제외"))))</f>
        <v/>
      </c>
    </row>
    <row r="19" customFormat="false" ht="15" hidden="false" customHeight="false" outlineLevel="0" collapsed="false">
      <c r="A19" s="10" t="str">
        <f aca="false">'템플릿 문항'!A18</f>
        <v>Q015</v>
      </c>
      <c r="B19" s="10" t="str">
        <f aca="false">'템플릿 문항'!E18</f>
        <v>{지자체} 여권 발급 소요 기간이 얼마나 되나요?</v>
      </c>
      <c r="C19" s="10" t="str">
        <f aca="false">'템플릿 문항'!H18</f>
        <v>중</v>
      </c>
      <c r="D19" s="20"/>
      <c r="E19" s="20"/>
      <c r="F19" s="21"/>
      <c r="G19" s="21"/>
      <c r="H19" s="21"/>
      <c r="I19" s="21" t="n">
        <v>5</v>
      </c>
      <c r="J19" s="20"/>
      <c r="K19" s="10" t="str">
        <f aca="false">IF(OR(D19="",E19=""),"",IF(AND(D19="적합",E19="적합"),"통과","미달"))</f>
        <v/>
      </c>
      <c r="L19" s="10" t="str">
        <f aca="false">IF(F19="","",IF(F19&gt;='검증 기준'!$B$5,"통과","미달"))</f>
        <v/>
      </c>
      <c r="M19" s="10" t="str">
        <f aca="false">IF(G19="","",IF(G19&lt;='검증 기준'!$B$6,"통과","불안정"))</f>
        <v/>
      </c>
      <c r="N19" s="10" t="str">
        <f aca="false">IF(OR(H19="",I19=""),"",IF(OR(AND(H19&gt;='검증 기준'!$B$7,H19&lt;=I19-'검증 기준'!$B$8),C19="고"),"통과","예비"))</f>
        <v/>
      </c>
      <c r="O19" s="10" t="str">
        <f aca="false">IF(J19="예","공급 공백",IF(OR(K19="",L19="",M19="",N19=""),"",IF(AND(K19="통과",L19="통과",N19="통과"),IF(M19="통과","패널","패널(불안정)"),IF(N19="예비","예비","제외"))))</f>
        <v/>
      </c>
    </row>
    <row r="20" customFormat="false" ht="15" hidden="false" customHeight="false" outlineLevel="0" collapsed="false">
      <c r="A20" s="10" t="str">
        <f aca="false">'템플릿 문항'!A19</f>
        <v>Q016</v>
      </c>
      <c r="B20" s="10" t="str">
        <f aca="false">'템플릿 문항'!E19</f>
        <v>{지자체} 여권과 운영 시간이 어떻게 되나요?</v>
      </c>
      <c r="C20" s="10" t="str">
        <f aca="false">'템플릿 문항'!H19</f>
        <v>중</v>
      </c>
      <c r="D20" s="20"/>
      <c r="E20" s="20"/>
      <c r="F20" s="21"/>
      <c r="G20" s="21"/>
      <c r="H20" s="21"/>
      <c r="I20" s="21" t="n">
        <v>5</v>
      </c>
      <c r="J20" s="20"/>
      <c r="K20" s="10" t="str">
        <f aca="false">IF(OR(D20="",E20=""),"",IF(AND(D20="적합",E20="적합"),"통과","미달"))</f>
        <v/>
      </c>
      <c r="L20" s="10" t="str">
        <f aca="false">IF(F20="","",IF(F20&gt;='검증 기준'!$B$5,"통과","미달"))</f>
        <v/>
      </c>
      <c r="M20" s="10" t="str">
        <f aca="false">IF(G20="","",IF(G20&lt;='검증 기준'!$B$6,"통과","불안정"))</f>
        <v/>
      </c>
      <c r="N20" s="10" t="str">
        <f aca="false">IF(OR(H20="",I20=""),"",IF(OR(AND(H20&gt;='검증 기준'!$B$7,H20&lt;=I20-'검증 기준'!$B$8),C20="고"),"통과","예비"))</f>
        <v/>
      </c>
      <c r="O20" s="10" t="str">
        <f aca="false">IF(J20="예","공급 공백",IF(OR(K20="",L20="",M20="",N20=""),"",IF(AND(K20="통과",L20="통과",N20="통과"),IF(M20="통과","패널","패널(불안정)"),IF(N20="예비","예비","제외"))))</f>
        <v/>
      </c>
    </row>
    <row r="21" customFormat="false" ht="15" hidden="false" customHeight="false" outlineLevel="0" collapsed="false">
      <c r="A21" s="10" t="str">
        <f aca="false">'템플릿 문항'!A20</f>
        <v>Q017</v>
      </c>
      <c r="B21" s="10" t="str">
        <f aca="false">'템플릿 문항'!E20</f>
        <v>{지자체} 여권 발급 수수료는 얼마인가요?</v>
      </c>
      <c r="C21" s="10" t="str">
        <f aca="false">'템플릿 문항'!H20</f>
        <v>저</v>
      </c>
      <c r="D21" s="20"/>
      <c r="E21" s="20"/>
      <c r="F21" s="21"/>
      <c r="G21" s="21"/>
      <c r="H21" s="21"/>
      <c r="I21" s="21" t="n">
        <v>5</v>
      </c>
      <c r="J21" s="20"/>
      <c r="K21" s="10" t="str">
        <f aca="false">IF(OR(D21="",E21=""),"",IF(AND(D21="적합",E21="적합"),"통과","미달"))</f>
        <v/>
      </c>
      <c r="L21" s="10" t="str">
        <f aca="false">IF(F21="","",IF(F21&gt;='검증 기준'!$B$5,"통과","미달"))</f>
        <v/>
      </c>
      <c r="M21" s="10" t="str">
        <f aca="false">IF(G21="","",IF(G21&lt;='검증 기준'!$B$6,"통과","불안정"))</f>
        <v/>
      </c>
      <c r="N21" s="10" t="str">
        <f aca="false">IF(OR(H21="",I21=""),"",IF(OR(AND(H21&gt;='검증 기준'!$B$7,H21&lt;=I21-'검증 기준'!$B$8),C21="고"),"통과","예비"))</f>
        <v/>
      </c>
      <c r="O21" s="10" t="str">
        <f aca="false">IF(J21="예","공급 공백",IF(OR(K21="",L21="",M21="",N21=""),"",IF(AND(K21="통과",L21="통과",N21="통과"),IF(M21="통과","패널","패널(불안정)"),IF(N21="예비","예비","제외"))))</f>
        <v/>
      </c>
    </row>
    <row r="22" customFormat="false" ht="15" hidden="false" customHeight="false" outlineLevel="0" collapsed="false">
      <c r="A22" s="10" t="str">
        <f aca="false">'템플릿 문항'!A21</f>
        <v>Q018</v>
      </c>
      <c r="B22" s="10" t="str">
        <f aca="false">'템플릿 문항'!E21</f>
        <v>{지자체} 여권과 전화번호 알려주세요</v>
      </c>
      <c r="C22" s="10" t="str">
        <f aca="false">'템플릿 문항'!H21</f>
        <v>중</v>
      </c>
      <c r="D22" s="20"/>
      <c r="E22" s="20"/>
      <c r="F22" s="21"/>
      <c r="G22" s="21"/>
      <c r="H22" s="21"/>
      <c r="I22" s="21" t="n">
        <v>5</v>
      </c>
      <c r="J22" s="20"/>
      <c r="K22" s="10" t="str">
        <f aca="false">IF(OR(D22="",E22=""),"",IF(AND(D22="적합",E22="적합"),"통과","미달"))</f>
        <v/>
      </c>
      <c r="L22" s="10" t="str">
        <f aca="false">IF(F22="","",IF(F22&gt;='검증 기준'!$B$5,"통과","미달"))</f>
        <v/>
      </c>
      <c r="M22" s="10" t="str">
        <f aca="false">IF(G22="","",IF(G22&lt;='검증 기준'!$B$6,"통과","불안정"))</f>
        <v/>
      </c>
      <c r="N22" s="10" t="str">
        <f aca="false">IF(OR(H22="",I22=""),"",IF(OR(AND(H22&gt;='검증 기준'!$B$7,H22&lt;=I22-'검증 기준'!$B$8),C22="고"),"통과","예비"))</f>
        <v/>
      </c>
      <c r="O22" s="10" t="str">
        <f aca="false">IF(J22="예","공급 공백",IF(OR(K22="",L22="",M22="",N22=""),"",IF(AND(K22="통과",L22="통과",N22="통과"),IF(M22="통과","패널","패널(불안정)"),IF(N22="예비","예비","제외"))))</f>
        <v/>
      </c>
    </row>
    <row r="23" customFormat="false" ht="15" hidden="false" customHeight="false" outlineLevel="0" collapsed="false">
      <c r="A23" s="10" t="str">
        <f aca="false">'템플릿 문항'!A22</f>
        <v>Q019</v>
      </c>
      <c r="B23" s="10" t="str">
        <f aca="false">'템플릿 문항'!E22</f>
        <v>{지자체} {동} 생활쓰레기 배출 요일이 언제인가요?</v>
      </c>
      <c r="C23" s="10" t="str">
        <f aca="false">'템플릿 문항'!H22</f>
        <v>중</v>
      </c>
      <c r="D23" s="20"/>
      <c r="E23" s="20"/>
      <c r="F23" s="21"/>
      <c r="G23" s="21"/>
      <c r="H23" s="21"/>
      <c r="I23" s="21" t="n">
        <v>5</v>
      </c>
      <c r="J23" s="20"/>
      <c r="K23" s="10" t="str">
        <f aca="false">IF(OR(D23="",E23=""),"",IF(AND(D23="적합",E23="적합"),"통과","미달"))</f>
        <v/>
      </c>
      <c r="L23" s="10" t="str">
        <f aca="false">IF(F23="","",IF(F23&gt;='검증 기준'!$B$5,"통과","미달"))</f>
        <v/>
      </c>
      <c r="M23" s="10" t="str">
        <f aca="false">IF(G23="","",IF(G23&lt;='검증 기준'!$B$6,"통과","불안정"))</f>
        <v/>
      </c>
      <c r="N23" s="10" t="str">
        <f aca="false">IF(OR(H23="",I23=""),"",IF(OR(AND(H23&gt;='검증 기준'!$B$7,H23&lt;=I23-'검증 기준'!$B$8),C23="고"),"통과","예비"))</f>
        <v/>
      </c>
      <c r="O23" s="10" t="str">
        <f aca="false">IF(J23="예","공급 공백",IF(OR(K23="",L23="",M23="",N23=""),"",IF(AND(K23="통과",L23="통과",N23="통과"),IF(M23="통과","패널","패널(불안정)"),IF(N23="예비","예비","제외"))))</f>
        <v/>
      </c>
    </row>
    <row r="24" customFormat="false" ht="15" hidden="false" customHeight="false" outlineLevel="0" collapsed="false">
      <c r="A24" s="10" t="str">
        <f aca="false">'템플릿 문항'!A23</f>
        <v>Q020</v>
      </c>
      <c r="B24" s="10" t="str">
        <f aca="false">'템플릿 문항'!E23</f>
        <v>{지자체} 쓰레기 배출 시간은 몇 시부터 몇 시까지인가요?</v>
      </c>
      <c r="C24" s="10" t="str">
        <f aca="false">'템플릿 문항'!H23</f>
        <v>중</v>
      </c>
      <c r="D24" s="20"/>
      <c r="E24" s="20"/>
      <c r="F24" s="21"/>
      <c r="G24" s="21"/>
      <c r="H24" s="21"/>
      <c r="I24" s="21" t="n">
        <v>5</v>
      </c>
      <c r="J24" s="20"/>
      <c r="K24" s="10" t="str">
        <f aca="false">IF(OR(D24="",E24=""),"",IF(AND(D24="적합",E24="적합"),"통과","미달"))</f>
        <v/>
      </c>
      <c r="L24" s="10" t="str">
        <f aca="false">IF(F24="","",IF(F24&gt;='검증 기준'!$B$5,"통과","미달"))</f>
        <v/>
      </c>
      <c r="M24" s="10" t="str">
        <f aca="false">IF(G24="","",IF(G24&lt;='검증 기준'!$B$6,"통과","불안정"))</f>
        <v/>
      </c>
      <c r="N24" s="10" t="str">
        <f aca="false">IF(OR(H24="",I24=""),"",IF(OR(AND(H24&gt;='검증 기준'!$B$7,H24&lt;=I24-'검증 기준'!$B$8),C24="고"),"통과","예비"))</f>
        <v/>
      </c>
      <c r="O24" s="10" t="str">
        <f aca="false">IF(J24="예","공급 공백",IF(OR(K24="",L24="",M24="",N24=""),"",IF(AND(K24="통과",L24="통과",N24="통과"),IF(M24="통과","패널","패널(불안정)"),IF(N24="예비","예비","제외"))))</f>
        <v/>
      </c>
    </row>
    <row r="25" customFormat="false" ht="15" hidden="false" customHeight="false" outlineLevel="0" collapsed="false">
      <c r="A25" s="10" t="str">
        <f aca="false">'템플릿 문항'!A24</f>
        <v>Q021</v>
      </c>
      <c r="B25" s="10" t="str">
        <f aca="false">'템플릿 문항'!E24</f>
        <v>{지자체} 쓰레기 무단투기 과태료는 얼마인가요?</v>
      </c>
      <c r="C25" s="10" t="str">
        <f aca="false">'템플릿 문항'!H24</f>
        <v>고</v>
      </c>
      <c r="D25" s="20"/>
      <c r="E25" s="20"/>
      <c r="F25" s="21"/>
      <c r="G25" s="21"/>
      <c r="H25" s="21"/>
      <c r="I25" s="21" t="n">
        <v>5</v>
      </c>
      <c r="J25" s="20"/>
      <c r="K25" s="10" t="str">
        <f aca="false">IF(OR(D25="",E25=""),"",IF(AND(D25="적합",E25="적합"),"통과","미달"))</f>
        <v/>
      </c>
      <c r="L25" s="10" t="str">
        <f aca="false">IF(F25="","",IF(F25&gt;='검증 기준'!$B$5,"통과","미달"))</f>
        <v/>
      </c>
      <c r="M25" s="10" t="str">
        <f aca="false">IF(G25="","",IF(G25&lt;='검증 기준'!$B$6,"통과","불안정"))</f>
        <v/>
      </c>
      <c r="N25" s="10" t="str">
        <f aca="false">IF(OR(H25="",I25=""),"",IF(OR(AND(H25&gt;='검증 기준'!$B$7,H25&lt;=I25-'검증 기준'!$B$8),C25="고"),"통과","예비"))</f>
        <v/>
      </c>
      <c r="O25" s="10" t="str">
        <f aca="false">IF(J25="예","공급 공백",IF(OR(K25="",L25="",M25="",N25=""),"",IF(AND(K25="통과",L25="통과",N25="통과"),IF(M25="통과","패널","패널(불안정)"),IF(N25="예비","예비","제외"))))</f>
        <v/>
      </c>
    </row>
    <row r="26" customFormat="false" ht="15" hidden="false" customHeight="false" outlineLevel="0" collapsed="false">
      <c r="A26" s="10" t="str">
        <f aca="false">'템플릿 문항'!A25</f>
        <v>Q022</v>
      </c>
      <c r="B26" s="10" t="str">
        <f aca="false">'템플릿 문항'!E25</f>
        <v>{지자체}에서 {품목}은 어떻게 버리나요?</v>
      </c>
      <c r="C26" s="10" t="str">
        <f aca="false">'템플릿 문항'!H25</f>
        <v>중</v>
      </c>
      <c r="D26" s="20"/>
      <c r="E26" s="20"/>
      <c r="F26" s="21"/>
      <c r="G26" s="21"/>
      <c r="H26" s="21"/>
      <c r="I26" s="21" t="n">
        <v>5</v>
      </c>
      <c r="J26" s="20"/>
      <c r="K26" s="10" t="str">
        <f aca="false">IF(OR(D26="",E26=""),"",IF(AND(D26="적합",E26="적합"),"통과","미달"))</f>
        <v/>
      </c>
      <c r="L26" s="10" t="str">
        <f aca="false">IF(F26="","",IF(F26&gt;='검증 기준'!$B$5,"통과","미달"))</f>
        <v/>
      </c>
      <c r="M26" s="10" t="str">
        <f aca="false">IF(G26="","",IF(G26&lt;='검증 기준'!$B$6,"통과","불안정"))</f>
        <v/>
      </c>
      <c r="N26" s="10" t="str">
        <f aca="false">IF(OR(H26="",I26=""),"",IF(OR(AND(H26&gt;='검증 기준'!$B$7,H26&lt;=I26-'검증 기준'!$B$8),C26="고"),"통과","예비"))</f>
        <v/>
      </c>
      <c r="O26" s="10" t="str">
        <f aca="false">IF(J26="예","공급 공백",IF(OR(K26="",L26="",M26="",N26=""),"",IF(AND(K26="통과",L26="통과",N26="통과"),IF(M26="통과","패널","패널(불안정)"),IF(N26="예비","예비","제외"))))</f>
        <v/>
      </c>
    </row>
    <row r="27" customFormat="false" ht="15" hidden="false" customHeight="false" outlineLevel="0" collapsed="false">
      <c r="A27" s="10" t="str">
        <f aca="false">'템플릿 문항'!A26</f>
        <v>Q023</v>
      </c>
      <c r="B27" s="10" t="str">
        <f aca="false">'템플릿 문항'!E26</f>
        <v>{지자체} 청소 담당 부서 전화번호가 뭔가요?</v>
      </c>
      <c r="C27" s="10" t="str">
        <f aca="false">'템플릿 문항'!H26</f>
        <v>중</v>
      </c>
      <c r="D27" s="20"/>
      <c r="E27" s="20"/>
      <c r="F27" s="21"/>
      <c r="G27" s="21"/>
      <c r="H27" s="21"/>
      <c r="I27" s="21" t="n">
        <v>5</v>
      </c>
      <c r="J27" s="20"/>
      <c r="K27" s="10" t="str">
        <f aca="false">IF(OR(D27="",E27=""),"",IF(AND(D27="적합",E27="적합"),"통과","미달"))</f>
        <v/>
      </c>
      <c r="L27" s="10" t="str">
        <f aca="false">IF(F27="","",IF(F27&gt;='검증 기준'!$B$5,"통과","미달"))</f>
        <v/>
      </c>
      <c r="M27" s="10" t="str">
        <f aca="false">IF(G27="","",IF(G27&lt;='검증 기준'!$B$6,"통과","불안정"))</f>
        <v/>
      </c>
      <c r="N27" s="10" t="str">
        <f aca="false">IF(OR(H27="",I27=""),"",IF(OR(AND(H27&gt;='검증 기준'!$B$7,H27&lt;=I27-'검증 기준'!$B$8),C27="고"),"통과","예비"))</f>
        <v/>
      </c>
      <c r="O27" s="10" t="str">
        <f aca="false">IF(J27="예","공급 공백",IF(OR(K27="",L27="",M27="",N27=""),"",IF(AND(K27="통과",L27="통과",N27="통과"),IF(M27="통과","패널","패널(불안정)"),IF(N27="예비","예비","제외"))))</f>
        <v/>
      </c>
    </row>
    <row r="28" customFormat="false" ht="15" hidden="false" customHeight="false" outlineLevel="0" collapsed="false">
      <c r="A28" s="10" t="str">
        <f aca="false">'템플릿 문항'!A27</f>
        <v>Q024</v>
      </c>
      <c r="B28" s="10" t="str">
        <f aca="false">'템플릿 문항'!E27</f>
        <v>{지자체} 대형폐기물 배출 신고는 어떻게 하나요?</v>
      </c>
      <c r="C28" s="10" t="str">
        <f aca="false">'템플릿 문항'!H27</f>
        <v>중</v>
      </c>
      <c r="D28" s="20"/>
      <c r="E28" s="20"/>
      <c r="F28" s="21"/>
      <c r="G28" s="21"/>
      <c r="H28" s="21"/>
      <c r="I28" s="21" t="n">
        <v>5</v>
      </c>
      <c r="J28" s="20"/>
      <c r="K28" s="10" t="str">
        <f aca="false">IF(OR(D28="",E28=""),"",IF(AND(D28="적합",E28="적합"),"통과","미달"))</f>
        <v/>
      </c>
      <c r="L28" s="10" t="str">
        <f aca="false">IF(F28="","",IF(F28&gt;='검증 기준'!$B$5,"통과","미달"))</f>
        <v/>
      </c>
      <c r="M28" s="10" t="str">
        <f aca="false">IF(G28="","",IF(G28&lt;='검증 기준'!$B$6,"통과","불안정"))</f>
        <v/>
      </c>
      <c r="N28" s="10" t="str">
        <f aca="false">IF(OR(H28="",I28=""),"",IF(OR(AND(H28&gt;='검증 기준'!$B$7,H28&lt;=I28-'검증 기준'!$B$8),C28="고"),"통과","예비"))</f>
        <v/>
      </c>
      <c r="O28" s="10" t="str">
        <f aca="false">IF(J28="예","공급 공백",IF(OR(K28="",L28="",M28="",N28=""),"",IF(AND(K28="통과",L28="통과",N28="통과"),IF(M28="통과","패널","패널(불안정)"),IF(N28="예비","예비","제외"))))</f>
        <v/>
      </c>
    </row>
    <row r="29" customFormat="false" ht="15" hidden="false" customHeight="false" outlineLevel="0" collapsed="false">
      <c r="A29" s="10" t="str">
        <f aca="false">'템플릿 문항'!A28</f>
        <v>Q025</v>
      </c>
      <c r="B29" s="10" t="str">
        <f aca="false">'템플릿 문항'!E28</f>
        <v>{지자체}에서 {대형품목} 버리는 수수료가 얼마인가요?</v>
      </c>
      <c r="C29" s="10" t="str">
        <f aca="false">'템플릿 문항'!H28</f>
        <v>중</v>
      </c>
      <c r="D29" s="20"/>
      <c r="E29" s="20"/>
      <c r="F29" s="21"/>
      <c r="G29" s="21"/>
      <c r="H29" s="21"/>
      <c r="I29" s="21" t="n">
        <v>5</v>
      </c>
      <c r="J29" s="20"/>
      <c r="K29" s="10" t="str">
        <f aca="false">IF(OR(D29="",E29=""),"",IF(AND(D29="적합",E29="적합"),"통과","미달"))</f>
        <v/>
      </c>
      <c r="L29" s="10" t="str">
        <f aca="false">IF(F29="","",IF(F29&gt;='검증 기준'!$B$5,"통과","미달"))</f>
        <v/>
      </c>
      <c r="M29" s="10" t="str">
        <f aca="false">IF(G29="","",IF(G29&lt;='검증 기준'!$B$6,"통과","불안정"))</f>
        <v/>
      </c>
      <c r="N29" s="10" t="str">
        <f aca="false">IF(OR(H29="",I29=""),"",IF(OR(AND(H29&gt;='검증 기준'!$B$7,H29&lt;=I29-'검증 기준'!$B$8),C29="고"),"통과","예비"))</f>
        <v/>
      </c>
      <c r="O29" s="10" t="str">
        <f aca="false">IF(J29="예","공급 공백",IF(OR(K29="",L29="",M29="",N29=""),"",IF(AND(K29="통과",L29="통과",N29="통과"),IF(M29="통과","패널","패널(불안정)"),IF(N29="예비","예비","제외"))))</f>
        <v/>
      </c>
    </row>
    <row r="30" customFormat="false" ht="15" hidden="false" customHeight="false" outlineLevel="0" collapsed="false">
      <c r="A30" s="10" t="str">
        <f aca="false">'템플릿 문항'!A29</f>
        <v>Q026</v>
      </c>
      <c r="B30" s="10" t="str">
        <f aca="false">'템플릿 문항'!E29</f>
        <v>{지자체} 대형폐기물 스티커는 어디서 사나요?</v>
      </c>
      <c r="C30" s="10" t="str">
        <f aca="false">'템플릿 문항'!H29</f>
        <v>중</v>
      </c>
      <c r="D30" s="20"/>
      <c r="E30" s="20"/>
      <c r="F30" s="21"/>
      <c r="G30" s="21"/>
      <c r="H30" s="21"/>
      <c r="I30" s="21" t="n">
        <v>5</v>
      </c>
      <c r="J30" s="20"/>
      <c r="K30" s="10" t="str">
        <f aca="false">IF(OR(D30="",E30=""),"",IF(AND(D30="적합",E30="적합"),"통과","미달"))</f>
        <v/>
      </c>
      <c r="L30" s="10" t="str">
        <f aca="false">IF(F30="","",IF(F30&gt;='검증 기준'!$B$5,"통과","미달"))</f>
        <v/>
      </c>
      <c r="M30" s="10" t="str">
        <f aca="false">IF(G30="","",IF(G30&lt;='검증 기준'!$B$6,"통과","불안정"))</f>
        <v/>
      </c>
      <c r="N30" s="10" t="str">
        <f aca="false">IF(OR(H30="",I30=""),"",IF(OR(AND(H30&gt;='검증 기준'!$B$7,H30&lt;=I30-'검증 기준'!$B$8),C30="고"),"통과","예비"))</f>
        <v/>
      </c>
      <c r="O30" s="10" t="str">
        <f aca="false">IF(J30="예","공급 공백",IF(OR(K30="",L30="",M30="",N30=""),"",IF(AND(K30="통과",L30="통과",N30="통과"),IF(M30="통과","패널","패널(불안정)"),IF(N30="예비","예비","제외"))))</f>
        <v/>
      </c>
    </row>
    <row r="31" customFormat="false" ht="15" hidden="false" customHeight="false" outlineLevel="0" collapsed="false">
      <c r="A31" s="10" t="str">
        <f aca="false">'템플릿 문항'!A30</f>
        <v>Q027</v>
      </c>
      <c r="B31" s="10" t="str">
        <f aca="false">'템플릿 문항'!E30</f>
        <v>{지자체} 대형폐기물 무상 수거 품목이 있나요?</v>
      </c>
      <c r="C31" s="10" t="str">
        <f aca="false">'템플릿 문항'!H30</f>
        <v>저</v>
      </c>
      <c r="D31" s="20"/>
      <c r="E31" s="20"/>
      <c r="F31" s="21"/>
      <c r="G31" s="21"/>
      <c r="H31" s="21"/>
      <c r="I31" s="21" t="n">
        <v>5</v>
      </c>
      <c r="J31" s="20"/>
      <c r="K31" s="10" t="str">
        <f aca="false">IF(OR(D31="",E31=""),"",IF(AND(D31="적합",E31="적합"),"통과","미달"))</f>
        <v/>
      </c>
      <c r="L31" s="10" t="str">
        <f aca="false">IF(F31="","",IF(F31&gt;='검증 기준'!$B$5,"통과","미달"))</f>
        <v/>
      </c>
      <c r="M31" s="10" t="str">
        <f aca="false">IF(G31="","",IF(G31&lt;='검증 기준'!$B$6,"통과","불안정"))</f>
        <v/>
      </c>
      <c r="N31" s="10" t="str">
        <f aca="false">IF(OR(H31="",I31=""),"",IF(OR(AND(H31&gt;='검증 기준'!$B$7,H31&lt;=I31-'검증 기준'!$B$8),C31="고"),"통과","예비"))</f>
        <v/>
      </c>
      <c r="O31" s="10" t="str">
        <f aca="false">IF(J31="예","공급 공백",IF(OR(K31="",L31="",M31="",N31=""),"",IF(AND(K31="통과",L31="통과",N31="통과"),IF(M31="통과","패널","패널(불안정)"),IF(N31="예비","예비","제외"))))</f>
        <v/>
      </c>
    </row>
    <row r="32" customFormat="false" ht="15" hidden="false" customHeight="false" outlineLevel="0" collapsed="false">
      <c r="A32" s="10" t="str">
        <f aca="false">'템플릿 문항'!A31</f>
        <v>Q028</v>
      </c>
      <c r="B32" s="10" t="str">
        <f aca="false">'템플릿 문항'!E31</f>
        <v>{지자체} 대형폐기물 수거일은 언제인가요?</v>
      </c>
      <c r="C32" s="10" t="str">
        <f aca="false">'템플릿 문항'!H31</f>
        <v>중</v>
      </c>
      <c r="D32" s="20"/>
      <c r="E32" s="20"/>
      <c r="F32" s="21"/>
      <c r="G32" s="21"/>
      <c r="H32" s="21"/>
      <c r="I32" s="21" t="n">
        <v>5</v>
      </c>
      <c r="J32" s="20"/>
      <c r="K32" s="10" t="str">
        <f aca="false">IF(OR(D32="",E32=""),"",IF(AND(D32="적합",E32="적합"),"통과","미달"))</f>
        <v/>
      </c>
      <c r="L32" s="10" t="str">
        <f aca="false">IF(F32="","",IF(F32&gt;='검증 기준'!$B$5,"통과","미달"))</f>
        <v/>
      </c>
      <c r="M32" s="10" t="str">
        <f aca="false">IF(G32="","",IF(G32&lt;='검증 기준'!$B$6,"통과","불안정"))</f>
        <v/>
      </c>
      <c r="N32" s="10" t="str">
        <f aca="false">IF(OR(H32="",I32=""),"",IF(OR(AND(H32&gt;='검증 기준'!$B$7,H32&lt;=I32-'검증 기준'!$B$8),C32="고"),"통과","예비"))</f>
        <v/>
      </c>
      <c r="O32" s="10" t="str">
        <f aca="false">IF(J32="예","공급 공백",IF(OR(K32="",L32="",M32="",N32=""),"",IF(AND(K32="통과",L32="통과",N32="통과"),IF(M32="통과","패널","패널(불안정)"),IF(N32="예비","예비","제외"))))</f>
        <v/>
      </c>
    </row>
    <row r="33" customFormat="false" ht="15" hidden="false" customHeight="false" outlineLevel="0" collapsed="false">
      <c r="A33" s="10" t="str">
        <f aca="false">'템플릿 문항'!A32</f>
        <v>Q029</v>
      </c>
      <c r="B33" s="10" t="str">
        <f aca="false">'템플릿 문항'!E32</f>
        <v>{지자체} 음식물쓰레기는 어떻게 배출하나요?</v>
      </c>
      <c r="C33" s="10" t="str">
        <f aca="false">'템플릿 문항'!H32</f>
        <v>중</v>
      </c>
      <c r="D33" s="20"/>
      <c r="E33" s="20"/>
      <c r="F33" s="21"/>
      <c r="G33" s="21"/>
      <c r="H33" s="21"/>
      <c r="I33" s="21" t="n">
        <v>5</v>
      </c>
      <c r="J33" s="20"/>
      <c r="K33" s="10" t="str">
        <f aca="false">IF(OR(D33="",E33=""),"",IF(AND(D33="적합",E33="적합"),"통과","미달"))</f>
        <v/>
      </c>
      <c r="L33" s="10" t="str">
        <f aca="false">IF(F33="","",IF(F33&gt;='검증 기준'!$B$5,"통과","미달"))</f>
        <v/>
      </c>
      <c r="M33" s="10" t="str">
        <f aca="false">IF(G33="","",IF(G33&lt;='검증 기준'!$B$6,"통과","불안정"))</f>
        <v/>
      </c>
      <c r="N33" s="10" t="str">
        <f aca="false">IF(OR(H33="",I33=""),"",IF(OR(AND(H33&gt;='검증 기준'!$B$7,H33&lt;=I33-'검증 기준'!$B$8),C33="고"),"통과","예비"))</f>
        <v/>
      </c>
      <c r="O33" s="10" t="str">
        <f aca="false">IF(J33="예","공급 공백",IF(OR(K33="",L33="",M33="",N33=""),"",IF(AND(K33="통과",L33="통과",N33="통과"),IF(M33="통과","패널","패널(불안정)"),IF(N33="예비","예비","제외"))))</f>
        <v/>
      </c>
    </row>
    <row r="34" customFormat="false" ht="15" hidden="false" customHeight="false" outlineLevel="0" collapsed="false">
      <c r="A34" s="10" t="str">
        <f aca="false">'템플릿 문항'!A33</f>
        <v>Q030</v>
      </c>
      <c r="B34" s="10" t="str">
        <f aca="false">'템플릿 문항'!E33</f>
        <v>{지자체} 음식물쓰레기 전용봉투 가격이 얼마인가요?</v>
      </c>
      <c r="C34" s="10" t="str">
        <f aca="false">'템플릿 문항'!H33</f>
        <v>저</v>
      </c>
      <c r="D34" s="20"/>
      <c r="E34" s="20"/>
      <c r="F34" s="21"/>
      <c r="G34" s="21"/>
      <c r="H34" s="21"/>
      <c r="I34" s="21" t="n">
        <v>5</v>
      </c>
      <c r="J34" s="20"/>
      <c r="K34" s="10" t="str">
        <f aca="false">IF(OR(D34="",E34=""),"",IF(AND(D34="적합",E34="적합"),"통과","미달"))</f>
        <v/>
      </c>
      <c r="L34" s="10" t="str">
        <f aca="false">IF(F34="","",IF(F34&gt;='검증 기준'!$B$5,"통과","미달"))</f>
        <v/>
      </c>
      <c r="M34" s="10" t="str">
        <f aca="false">IF(G34="","",IF(G34&lt;='검증 기준'!$B$6,"통과","불안정"))</f>
        <v/>
      </c>
      <c r="N34" s="10" t="str">
        <f aca="false">IF(OR(H34="",I34=""),"",IF(OR(AND(H34&gt;='검증 기준'!$B$7,H34&lt;=I34-'검증 기준'!$B$8),C34="고"),"통과","예비"))</f>
        <v/>
      </c>
      <c r="O34" s="10" t="str">
        <f aca="false">IF(J34="예","공급 공백",IF(OR(K34="",L34="",M34="",N34=""),"",IF(AND(K34="통과",L34="통과",N34="통과"),IF(M34="통과","패널","패널(불안정)"),IF(N34="예비","예비","제외"))))</f>
        <v/>
      </c>
    </row>
    <row r="35" customFormat="false" ht="15" hidden="false" customHeight="false" outlineLevel="0" collapsed="false">
      <c r="A35" s="10" t="str">
        <f aca="false">'템플릿 문항'!A34</f>
        <v>Q031</v>
      </c>
      <c r="B35" s="10" t="str">
        <f aca="false">'템플릿 문항'!E34</f>
        <v>{지자체}에서 {음식물품목}은 음식물쓰레기인가요?</v>
      </c>
      <c r="C35" s="10" t="str">
        <f aca="false">'템플릿 문항'!H34</f>
        <v>저</v>
      </c>
      <c r="D35" s="20"/>
      <c r="E35" s="20"/>
      <c r="F35" s="21"/>
      <c r="G35" s="21"/>
      <c r="H35" s="21"/>
      <c r="I35" s="21" t="n">
        <v>5</v>
      </c>
      <c r="J35" s="20"/>
      <c r="K35" s="10" t="str">
        <f aca="false">IF(OR(D35="",E35=""),"",IF(AND(D35="적합",E35="적합"),"통과","미달"))</f>
        <v/>
      </c>
      <c r="L35" s="10" t="str">
        <f aca="false">IF(F35="","",IF(F35&gt;='검증 기준'!$B$5,"통과","미달"))</f>
        <v/>
      </c>
      <c r="M35" s="10" t="str">
        <f aca="false">IF(G35="","",IF(G35&lt;='검증 기준'!$B$6,"통과","불안정"))</f>
        <v/>
      </c>
      <c r="N35" s="10" t="str">
        <f aca="false">IF(OR(H35="",I35=""),"",IF(OR(AND(H35&gt;='검증 기준'!$B$7,H35&lt;=I35-'검증 기준'!$B$8),C35="고"),"통과","예비"))</f>
        <v/>
      </c>
      <c r="O35" s="10" t="str">
        <f aca="false">IF(J35="예","공급 공백",IF(OR(K35="",L35="",M35="",N35=""),"",IF(AND(K35="통과",L35="통과",N35="통과"),IF(M35="통과","패널","패널(불안정)"),IF(N35="예비","예비","제외"))))</f>
        <v/>
      </c>
    </row>
    <row r="36" customFormat="false" ht="15" hidden="false" customHeight="false" outlineLevel="0" collapsed="false">
      <c r="A36" s="10" t="str">
        <f aca="false">'템플릿 문항'!A35</f>
        <v>Q032</v>
      </c>
      <c r="B36" s="10" t="str">
        <f aca="false">'템플릿 문항'!E35</f>
        <v>{지자체} 음식물쓰레기 배출 요일이 언제인가요?</v>
      </c>
      <c r="C36" s="10" t="str">
        <f aca="false">'템플릿 문항'!H35</f>
        <v>중</v>
      </c>
      <c r="D36" s="20"/>
      <c r="E36" s="20"/>
      <c r="F36" s="21"/>
      <c r="G36" s="21"/>
      <c r="H36" s="21"/>
      <c r="I36" s="21" t="n">
        <v>5</v>
      </c>
      <c r="J36" s="20"/>
      <c r="K36" s="10" t="str">
        <f aca="false">IF(OR(D36="",E36=""),"",IF(AND(D36="적합",E36="적합"),"통과","미달"))</f>
        <v/>
      </c>
      <c r="L36" s="10" t="str">
        <f aca="false">IF(F36="","",IF(F36&gt;='검증 기준'!$B$5,"통과","미달"))</f>
        <v/>
      </c>
      <c r="M36" s="10" t="str">
        <f aca="false">IF(G36="","",IF(G36&lt;='검증 기준'!$B$6,"통과","불안정"))</f>
        <v/>
      </c>
      <c r="N36" s="10" t="str">
        <f aca="false">IF(OR(H36="",I36=""),"",IF(OR(AND(H36&gt;='검증 기준'!$B$7,H36&lt;=I36-'검증 기준'!$B$8),C36="고"),"통과","예비"))</f>
        <v/>
      </c>
      <c r="O36" s="10" t="str">
        <f aca="false">IF(J36="예","공급 공백",IF(OR(K36="",L36="",M36="",N36=""),"",IF(AND(K36="통과",L36="통과",N36="통과"),IF(M36="통과","패널","패널(불안정)"),IF(N36="예비","예비","제외"))))</f>
        <v/>
      </c>
    </row>
    <row r="37" customFormat="false" ht="15" hidden="false" customHeight="false" outlineLevel="0" collapsed="false">
      <c r="A37" s="10" t="str">
        <f aca="false">'템플릿 문항'!A36</f>
        <v>Q033</v>
      </c>
      <c r="B37" s="10" t="str">
        <f aca="false">'템플릿 문항'!E36</f>
        <v>{지자체} 종량제 봉투 {용량} 가격이 얼마인가요?</v>
      </c>
      <c r="C37" s="10" t="str">
        <f aca="false">'템플릿 문항'!H36</f>
        <v>저</v>
      </c>
      <c r="D37" s="20"/>
      <c r="E37" s="20"/>
      <c r="F37" s="21"/>
      <c r="G37" s="21"/>
      <c r="H37" s="21"/>
      <c r="I37" s="21" t="n">
        <v>5</v>
      </c>
      <c r="J37" s="20"/>
      <c r="K37" s="10" t="str">
        <f aca="false">IF(OR(D37="",E37=""),"",IF(AND(D37="적합",E37="적합"),"통과","미달"))</f>
        <v/>
      </c>
      <c r="L37" s="10" t="str">
        <f aca="false">IF(F37="","",IF(F37&gt;='검증 기준'!$B$5,"통과","미달"))</f>
        <v/>
      </c>
      <c r="M37" s="10" t="str">
        <f aca="false">IF(G37="","",IF(G37&lt;='검증 기준'!$B$6,"통과","불안정"))</f>
        <v/>
      </c>
      <c r="N37" s="10" t="str">
        <f aca="false">IF(OR(H37="",I37=""),"",IF(OR(AND(H37&gt;='검증 기준'!$B$7,H37&lt;=I37-'검증 기준'!$B$8),C37="고"),"통과","예비"))</f>
        <v/>
      </c>
      <c r="O37" s="10" t="str">
        <f aca="false">IF(J37="예","공급 공백",IF(OR(K37="",L37="",M37="",N37=""),"",IF(AND(K37="통과",L37="통과",N37="통과"),IF(M37="통과","패널","패널(불안정)"),IF(N37="예비","예비","제외"))))</f>
        <v/>
      </c>
    </row>
    <row r="38" customFormat="false" ht="15" hidden="false" customHeight="false" outlineLevel="0" collapsed="false">
      <c r="A38" s="10" t="str">
        <f aca="false">'템플릿 문항'!A37</f>
        <v>Q034</v>
      </c>
      <c r="B38" s="10" t="str">
        <f aca="false">'템플릿 문항'!E37</f>
        <v>{지자체} 종량제 봉투는 어디서 파나요?</v>
      </c>
      <c r="C38" s="10" t="str">
        <f aca="false">'템플릿 문항'!H37</f>
        <v>저</v>
      </c>
      <c r="D38" s="20"/>
      <c r="E38" s="20"/>
      <c r="F38" s="21"/>
      <c r="G38" s="21"/>
      <c r="H38" s="21"/>
      <c r="I38" s="21" t="n">
        <v>5</v>
      </c>
      <c r="J38" s="20"/>
      <c r="K38" s="10" t="str">
        <f aca="false">IF(OR(D38="",E38=""),"",IF(AND(D38="적합",E38="적합"),"통과","미달"))</f>
        <v/>
      </c>
      <c r="L38" s="10" t="str">
        <f aca="false">IF(F38="","",IF(F38&gt;='검증 기준'!$B$5,"통과","미달"))</f>
        <v/>
      </c>
      <c r="M38" s="10" t="str">
        <f aca="false">IF(G38="","",IF(G38&lt;='검증 기준'!$B$6,"통과","불안정"))</f>
        <v/>
      </c>
      <c r="N38" s="10" t="str">
        <f aca="false">IF(OR(H38="",I38=""),"",IF(OR(AND(H38&gt;='검증 기준'!$B$7,H38&lt;=I38-'검증 기준'!$B$8),C38="고"),"통과","예비"))</f>
        <v/>
      </c>
      <c r="O38" s="10" t="str">
        <f aca="false">IF(J38="예","공급 공백",IF(OR(K38="",L38="",M38="",N38=""),"",IF(AND(K38="통과",L38="통과",N38="통과"),IF(M38="통과","패널","패널(불안정)"),IF(N38="예비","예비","제외"))))</f>
        <v/>
      </c>
    </row>
    <row r="39" customFormat="false" ht="15" hidden="false" customHeight="false" outlineLevel="0" collapsed="false">
      <c r="A39" s="10" t="str">
        <f aca="false">'템플릿 문항'!A38</f>
        <v>Q035</v>
      </c>
      <c r="B39" s="10" t="str">
        <f aca="false">'템플릿 문항'!E38</f>
        <v>{지자체} 종량제 봉투를 다른 지역에서 사용할 수 있나요?</v>
      </c>
      <c r="C39" s="10" t="str">
        <f aca="false">'템플릿 문항'!H38</f>
        <v>저</v>
      </c>
      <c r="D39" s="20"/>
      <c r="E39" s="20"/>
      <c r="F39" s="21"/>
      <c r="G39" s="21"/>
      <c r="H39" s="21"/>
      <c r="I39" s="21" t="n">
        <v>5</v>
      </c>
      <c r="J39" s="20"/>
      <c r="K39" s="10" t="str">
        <f aca="false">IF(OR(D39="",E39=""),"",IF(AND(D39="적합",E39="적합"),"통과","미달"))</f>
        <v/>
      </c>
      <c r="L39" s="10" t="str">
        <f aca="false">IF(F39="","",IF(F39&gt;='검증 기준'!$B$5,"통과","미달"))</f>
        <v/>
      </c>
      <c r="M39" s="10" t="str">
        <f aca="false">IF(G39="","",IF(G39&lt;='검증 기준'!$B$6,"통과","불안정"))</f>
        <v/>
      </c>
      <c r="N39" s="10" t="str">
        <f aca="false">IF(OR(H39="",I39=""),"",IF(OR(AND(H39&gt;='검증 기준'!$B$7,H39&lt;=I39-'검증 기준'!$B$8),C39="고"),"통과","예비"))</f>
        <v/>
      </c>
      <c r="O39" s="10" t="str">
        <f aca="false">IF(J39="예","공급 공백",IF(OR(K39="",L39="",M39="",N39=""),"",IF(AND(K39="통과",L39="통과",N39="통과"),IF(M39="통과","패널","패널(불안정)"),IF(N39="예비","예비","제외"))))</f>
        <v/>
      </c>
    </row>
    <row r="40" customFormat="false" ht="15" hidden="false" customHeight="false" outlineLevel="0" collapsed="false">
      <c r="A40" s="10" t="str">
        <f aca="false">'템플릿 문항'!A39</f>
        <v>Q036</v>
      </c>
      <c r="B40" s="10" t="str">
        <f aca="false">'템플릿 문항'!E39</f>
        <v>{지자체} 종량제 봉투 가격이 올해 바뀌었나요?</v>
      </c>
      <c r="C40" s="10" t="str">
        <f aca="false">'템플릿 문항'!H39</f>
        <v>저</v>
      </c>
      <c r="D40" s="20"/>
      <c r="E40" s="20"/>
      <c r="F40" s="21"/>
      <c r="G40" s="21"/>
      <c r="H40" s="21"/>
      <c r="I40" s="21" t="n">
        <v>5</v>
      </c>
      <c r="J40" s="20"/>
      <c r="K40" s="10" t="str">
        <f aca="false">IF(OR(D40="",E40=""),"",IF(AND(D40="적합",E40="적합"),"통과","미달"))</f>
        <v/>
      </c>
      <c r="L40" s="10" t="str">
        <f aca="false">IF(F40="","",IF(F40&gt;='검증 기준'!$B$5,"통과","미달"))</f>
        <v/>
      </c>
      <c r="M40" s="10" t="str">
        <f aca="false">IF(G40="","",IF(G40&lt;='검증 기준'!$B$6,"통과","불안정"))</f>
        <v/>
      </c>
      <c r="N40" s="10" t="str">
        <f aca="false">IF(OR(H40="",I40=""),"",IF(OR(AND(H40&gt;='검증 기준'!$B$7,H40&lt;=I40-'검증 기준'!$B$8),C40="고"),"통과","예비"))</f>
        <v/>
      </c>
      <c r="O40" s="10" t="str">
        <f aca="false">IF(J40="예","공급 공백",IF(OR(K40="",L40="",M40="",N40=""),"",IF(AND(K40="통과",L40="통과",N40="통과"),IF(M40="통과","패널","패널(불안정)"),IF(N40="예비","예비","제외"))))</f>
        <v/>
      </c>
    </row>
    <row r="41" customFormat="false" ht="15" hidden="false" customHeight="false" outlineLevel="0" collapsed="false">
      <c r="A41" s="10" t="str">
        <f aca="false">'템플릿 문항'!A40</f>
        <v>Q037</v>
      </c>
      <c r="B41" s="10" t="str">
        <f aca="false">'템플릿 문항'!E40</f>
        <v>{지자체} 불법 주정차 단속 시간이 언제인가요?</v>
      </c>
      <c r="C41" s="10" t="str">
        <f aca="false">'템플릿 문항'!H40</f>
        <v>고</v>
      </c>
      <c r="D41" s="20"/>
      <c r="E41" s="20"/>
      <c r="F41" s="21"/>
      <c r="G41" s="21"/>
      <c r="H41" s="21"/>
      <c r="I41" s="21" t="n">
        <v>5</v>
      </c>
      <c r="J41" s="20"/>
      <c r="K41" s="10" t="str">
        <f aca="false">IF(OR(D41="",E41=""),"",IF(AND(D41="적합",E41="적합"),"통과","미달"))</f>
        <v/>
      </c>
      <c r="L41" s="10" t="str">
        <f aca="false">IF(F41="","",IF(F41&gt;='검증 기준'!$B$5,"통과","미달"))</f>
        <v/>
      </c>
      <c r="M41" s="10" t="str">
        <f aca="false">IF(G41="","",IF(G41&lt;='검증 기준'!$B$6,"통과","불안정"))</f>
        <v/>
      </c>
      <c r="N41" s="10" t="str">
        <f aca="false">IF(OR(H41="",I41=""),"",IF(OR(AND(H41&gt;='검증 기준'!$B$7,H41&lt;=I41-'검증 기준'!$B$8),C41="고"),"통과","예비"))</f>
        <v/>
      </c>
      <c r="O41" s="10" t="str">
        <f aca="false">IF(J41="예","공급 공백",IF(OR(K41="",L41="",M41="",N41=""),"",IF(AND(K41="통과",L41="통과",N41="통과"),IF(M41="통과","패널","패널(불안정)"),IF(N41="예비","예비","제외"))))</f>
        <v/>
      </c>
    </row>
    <row r="42" customFormat="false" ht="15" hidden="false" customHeight="false" outlineLevel="0" collapsed="false">
      <c r="A42" s="10" t="str">
        <f aca="false">'템플릿 문항'!A41</f>
        <v>Q038</v>
      </c>
      <c r="B42" s="10" t="str">
        <f aca="false">'템플릿 문항'!E41</f>
        <v>{지자체} 주정차 위반 과태료는 얼마인가요?</v>
      </c>
      <c r="C42" s="10" t="str">
        <f aca="false">'템플릿 문항'!H41</f>
        <v>고</v>
      </c>
      <c r="D42" s="20"/>
      <c r="E42" s="20"/>
      <c r="F42" s="21"/>
      <c r="G42" s="21"/>
      <c r="H42" s="21"/>
      <c r="I42" s="21" t="n">
        <v>5</v>
      </c>
      <c r="J42" s="20"/>
      <c r="K42" s="10" t="str">
        <f aca="false">IF(OR(D42="",E42=""),"",IF(AND(D42="적합",E42="적합"),"통과","미달"))</f>
        <v/>
      </c>
      <c r="L42" s="10" t="str">
        <f aca="false">IF(F42="","",IF(F42&gt;='검증 기준'!$B$5,"통과","미달"))</f>
        <v/>
      </c>
      <c r="M42" s="10" t="str">
        <f aca="false">IF(G42="","",IF(G42&lt;='검증 기준'!$B$6,"통과","불안정"))</f>
        <v/>
      </c>
      <c r="N42" s="10" t="str">
        <f aca="false">IF(OR(H42="",I42=""),"",IF(OR(AND(H42&gt;='검증 기준'!$B$7,H42&lt;=I42-'검증 기준'!$B$8),C42="고"),"통과","예비"))</f>
        <v/>
      </c>
      <c r="O42" s="10" t="str">
        <f aca="false">IF(J42="예","공급 공백",IF(OR(K42="",L42="",M42="",N42=""),"",IF(AND(K42="통과",L42="통과",N42="통과"),IF(M42="통과","패널","패널(불안정)"),IF(N42="예비","예비","제외"))))</f>
        <v/>
      </c>
    </row>
    <row r="43" customFormat="false" ht="15" hidden="false" customHeight="false" outlineLevel="0" collapsed="false">
      <c r="A43" s="10" t="str">
        <f aca="false">'템플릿 문항'!A42</f>
        <v>Q039</v>
      </c>
      <c r="B43" s="10" t="str">
        <f aca="false">'템플릿 문항'!E42</f>
        <v>{지자체} 주정차 단속 이의신청은 어떻게 하나요?</v>
      </c>
      <c r="C43" s="10" t="str">
        <f aca="false">'템플릿 문항'!H42</f>
        <v>고</v>
      </c>
      <c r="D43" s="20"/>
      <c r="E43" s="20"/>
      <c r="F43" s="21"/>
      <c r="G43" s="21"/>
      <c r="H43" s="21"/>
      <c r="I43" s="21" t="n">
        <v>5</v>
      </c>
      <c r="J43" s="20"/>
      <c r="K43" s="10" t="str">
        <f aca="false">IF(OR(D43="",E43=""),"",IF(AND(D43="적합",E43="적합"),"통과","미달"))</f>
        <v/>
      </c>
      <c r="L43" s="10" t="str">
        <f aca="false">IF(F43="","",IF(F43&gt;='검증 기준'!$B$5,"통과","미달"))</f>
        <v/>
      </c>
      <c r="M43" s="10" t="str">
        <f aca="false">IF(G43="","",IF(G43&lt;='검증 기준'!$B$6,"통과","불안정"))</f>
        <v/>
      </c>
      <c r="N43" s="10" t="str">
        <f aca="false">IF(OR(H43="",I43=""),"",IF(OR(AND(H43&gt;='검증 기준'!$B$7,H43&lt;=I43-'검증 기준'!$B$8),C43="고"),"통과","예비"))</f>
        <v/>
      </c>
      <c r="O43" s="10" t="str">
        <f aca="false">IF(J43="예","공급 공백",IF(OR(K43="",L43="",M43="",N43=""),"",IF(AND(K43="통과",L43="통과",N43="통과"),IF(M43="통과","패널","패널(불안정)"),IF(N43="예비","예비","제외"))))</f>
        <v/>
      </c>
    </row>
    <row r="44" customFormat="false" ht="15" hidden="false" customHeight="false" outlineLevel="0" collapsed="false">
      <c r="A44" s="10" t="str">
        <f aca="false">'템플릿 문항'!A43</f>
        <v>Q040</v>
      </c>
      <c r="B44" s="10" t="str">
        <f aca="false">'템플릿 문항'!E43</f>
        <v>{지자체} 주정차 단속 알림 서비스 신청 방법이 뭔가요?</v>
      </c>
      <c r="C44" s="10" t="str">
        <f aca="false">'템플릿 문항'!H43</f>
        <v>중</v>
      </c>
      <c r="D44" s="20"/>
      <c r="E44" s="20"/>
      <c r="F44" s="21"/>
      <c r="G44" s="21"/>
      <c r="H44" s="21"/>
      <c r="I44" s="21" t="n">
        <v>5</v>
      </c>
      <c r="J44" s="20"/>
      <c r="K44" s="10" t="str">
        <f aca="false">IF(OR(D44="",E44=""),"",IF(AND(D44="적합",E44="적합"),"통과","미달"))</f>
        <v/>
      </c>
      <c r="L44" s="10" t="str">
        <f aca="false">IF(F44="","",IF(F44&gt;='검증 기준'!$B$5,"통과","미달"))</f>
        <v/>
      </c>
      <c r="M44" s="10" t="str">
        <f aca="false">IF(G44="","",IF(G44&lt;='검증 기준'!$B$6,"통과","불안정"))</f>
        <v/>
      </c>
      <c r="N44" s="10" t="str">
        <f aca="false">IF(OR(H44="",I44=""),"",IF(OR(AND(H44&gt;='검증 기준'!$B$7,H44&lt;=I44-'검증 기준'!$B$8),C44="고"),"통과","예비"))</f>
        <v/>
      </c>
      <c r="O44" s="10" t="str">
        <f aca="false">IF(J44="예","공급 공백",IF(OR(K44="",L44="",M44="",N44=""),"",IF(AND(K44="통과",L44="통과",N44="통과"),IF(M44="통과","패널","패널(불안정)"),IF(N44="예비","예비","제외"))))</f>
        <v/>
      </c>
    </row>
    <row r="45" customFormat="false" ht="15" hidden="false" customHeight="false" outlineLevel="0" collapsed="false">
      <c r="A45" s="10" t="str">
        <f aca="false">'템플릿 문항'!A44</f>
        <v>Q041</v>
      </c>
      <c r="B45" s="10" t="str">
        <f aca="false">'템플릿 문항'!E44</f>
        <v>{지자체} 점심시간에 주정차 단속하나요?</v>
      </c>
      <c r="C45" s="10" t="str">
        <f aca="false">'템플릿 문항'!H44</f>
        <v>고</v>
      </c>
      <c r="D45" s="20"/>
      <c r="E45" s="20"/>
      <c r="F45" s="21"/>
      <c r="G45" s="21"/>
      <c r="H45" s="21"/>
      <c r="I45" s="21" t="n">
        <v>5</v>
      </c>
      <c r="J45" s="20"/>
      <c r="K45" s="10" t="str">
        <f aca="false">IF(OR(D45="",E45=""),"",IF(AND(D45="적합",E45="적합"),"통과","미달"))</f>
        <v/>
      </c>
      <c r="L45" s="10" t="str">
        <f aca="false">IF(F45="","",IF(F45&gt;='검증 기준'!$B$5,"통과","미달"))</f>
        <v/>
      </c>
      <c r="M45" s="10" t="str">
        <f aca="false">IF(G45="","",IF(G45&lt;='검증 기준'!$B$6,"통과","불안정"))</f>
        <v/>
      </c>
      <c r="N45" s="10" t="str">
        <f aca="false">IF(OR(H45="",I45=""),"",IF(OR(AND(H45&gt;='검증 기준'!$B$7,H45&lt;=I45-'검증 기준'!$B$8),C45="고"),"통과","예비"))</f>
        <v/>
      </c>
      <c r="O45" s="10" t="str">
        <f aca="false">IF(J45="예","공급 공백",IF(OR(K45="",L45="",M45="",N45=""),"",IF(AND(K45="통과",L45="통과",N45="통과"),IF(M45="통과","패널","패널(불안정)"),IF(N45="예비","예비","제외"))))</f>
        <v/>
      </c>
    </row>
    <row r="46" customFormat="false" ht="15" hidden="false" customHeight="false" outlineLevel="0" collapsed="false">
      <c r="A46" s="10" t="str">
        <f aca="false">'템플릿 문항'!A45</f>
        <v>Q042</v>
      </c>
      <c r="B46" s="10" t="str">
        <f aca="false">'템플릿 문항'!E45</f>
        <v>{지자체} 주차 단속 담당 부서 전화번호 알려주세요</v>
      </c>
      <c r="C46" s="10" t="str">
        <f aca="false">'템플릿 문항'!H45</f>
        <v>중</v>
      </c>
      <c r="D46" s="20"/>
      <c r="E46" s="20"/>
      <c r="F46" s="21"/>
      <c r="G46" s="21"/>
      <c r="H46" s="21"/>
      <c r="I46" s="21" t="n">
        <v>5</v>
      </c>
      <c r="J46" s="20"/>
      <c r="K46" s="10" t="str">
        <f aca="false">IF(OR(D46="",E46=""),"",IF(AND(D46="적합",E46="적합"),"통과","미달"))</f>
        <v/>
      </c>
      <c r="L46" s="10" t="str">
        <f aca="false">IF(F46="","",IF(F46&gt;='검증 기준'!$B$5,"통과","미달"))</f>
        <v/>
      </c>
      <c r="M46" s="10" t="str">
        <f aca="false">IF(G46="","",IF(G46&lt;='검증 기준'!$B$6,"통과","불안정"))</f>
        <v/>
      </c>
      <c r="N46" s="10" t="str">
        <f aca="false">IF(OR(H46="",I46=""),"",IF(OR(AND(H46&gt;='검증 기준'!$B$7,H46&lt;=I46-'검증 기준'!$B$8),C46="고"),"통과","예비"))</f>
        <v/>
      </c>
      <c r="O46" s="10" t="str">
        <f aca="false">IF(J46="예","공급 공백",IF(OR(K46="",L46="",M46="",N46=""),"",IF(AND(K46="통과",L46="통과",N46="통과"),IF(M46="통과","패널","패널(불안정)"),IF(N46="예비","예비","제외"))))</f>
        <v/>
      </c>
    </row>
    <row r="47" customFormat="false" ht="15" hidden="false" customHeight="false" outlineLevel="0" collapsed="false">
      <c r="A47" s="10" t="str">
        <f aca="false">'템플릿 문항'!A46</f>
        <v>Q043</v>
      </c>
      <c r="B47" s="10" t="str">
        <f aca="false">'템플릿 문항'!E46</f>
        <v>{지자체} 거주자우선주차 신청은 어떻게 하나요?</v>
      </c>
      <c r="C47" s="10" t="str">
        <f aca="false">'템플릿 문항'!H46</f>
        <v>중</v>
      </c>
      <c r="D47" s="20"/>
      <c r="E47" s="20"/>
      <c r="F47" s="21"/>
      <c r="G47" s="21"/>
      <c r="H47" s="21"/>
      <c r="I47" s="21" t="n">
        <v>5</v>
      </c>
      <c r="J47" s="20"/>
      <c r="K47" s="10" t="str">
        <f aca="false">IF(OR(D47="",E47=""),"",IF(AND(D47="적합",E47="적합"),"통과","미달"))</f>
        <v/>
      </c>
      <c r="L47" s="10" t="str">
        <f aca="false">IF(F47="","",IF(F47&gt;='검증 기준'!$B$5,"통과","미달"))</f>
        <v/>
      </c>
      <c r="M47" s="10" t="str">
        <f aca="false">IF(G47="","",IF(G47&lt;='검증 기준'!$B$6,"통과","불안정"))</f>
        <v/>
      </c>
      <c r="N47" s="10" t="str">
        <f aca="false">IF(OR(H47="",I47=""),"",IF(OR(AND(H47&gt;='검증 기준'!$B$7,H47&lt;=I47-'검증 기준'!$B$8),C47="고"),"통과","예비"))</f>
        <v/>
      </c>
      <c r="O47" s="10" t="str">
        <f aca="false">IF(J47="예","공급 공백",IF(OR(K47="",L47="",M47="",N47=""),"",IF(AND(K47="통과",L47="통과",N47="통과"),IF(M47="통과","패널","패널(불안정)"),IF(N47="예비","예비","제외"))))</f>
        <v/>
      </c>
    </row>
    <row r="48" customFormat="false" ht="15" hidden="false" customHeight="false" outlineLevel="0" collapsed="false">
      <c r="A48" s="10" t="str">
        <f aca="false">'템플릿 문항'!A47</f>
        <v>Q044</v>
      </c>
      <c r="B48" s="10" t="str">
        <f aca="false">'템플릿 문항'!E47</f>
        <v>{지자체} 거주자우선주차 요금은 얼마인가요?</v>
      </c>
      <c r="C48" s="10" t="str">
        <f aca="false">'템플릿 문항'!H47</f>
        <v>중</v>
      </c>
      <c r="D48" s="20"/>
      <c r="E48" s="20"/>
      <c r="F48" s="21"/>
      <c r="G48" s="21"/>
      <c r="H48" s="21"/>
      <c r="I48" s="21" t="n">
        <v>5</v>
      </c>
      <c r="J48" s="20"/>
      <c r="K48" s="10" t="str">
        <f aca="false">IF(OR(D48="",E48=""),"",IF(AND(D48="적합",E48="적합"),"통과","미달"))</f>
        <v/>
      </c>
      <c r="L48" s="10" t="str">
        <f aca="false">IF(F48="","",IF(F48&gt;='검증 기준'!$B$5,"통과","미달"))</f>
        <v/>
      </c>
      <c r="M48" s="10" t="str">
        <f aca="false">IF(G48="","",IF(G48&lt;='검증 기준'!$B$6,"통과","불안정"))</f>
        <v/>
      </c>
      <c r="N48" s="10" t="str">
        <f aca="false">IF(OR(H48="",I48=""),"",IF(OR(AND(H48&gt;='검증 기준'!$B$7,H48&lt;=I48-'검증 기준'!$B$8),C48="고"),"통과","예비"))</f>
        <v/>
      </c>
      <c r="O48" s="10" t="str">
        <f aca="false">IF(J48="예","공급 공백",IF(OR(K48="",L48="",M48="",N48=""),"",IF(AND(K48="통과",L48="통과",N48="통과"),IF(M48="통과","패널","패널(불안정)"),IF(N48="예비","예비","제외"))))</f>
        <v/>
      </c>
    </row>
    <row r="49" customFormat="false" ht="15" hidden="false" customHeight="false" outlineLevel="0" collapsed="false">
      <c r="A49" s="10" t="str">
        <f aca="false">'템플릿 문항'!A48</f>
        <v>Q045</v>
      </c>
      <c r="B49" s="10" t="str">
        <f aca="false">'템플릿 문항'!E48</f>
        <v>{지자체} 거주자우선주차 배정은 언제 하나요?</v>
      </c>
      <c r="C49" s="10" t="str">
        <f aca="false">'템플릿 문항'!H48</f>
        <v>중</v>
      </c>
      <c r="D49" s="20"/>
      <c r="E49" s="20"/>
      <c r="F49" s="21"/>
      <c r="G49" s="21"/>
      <c r="H49" s="21"/>
      <c r="I49" s="21" t="n">
        <v>5</v>
      </c>
      <c r="J49" s="20"/>
      <c r="K49" s="10" t="str">
        <f aca="false">IF(OR(D49="",E49=""),"",IF(AND(D49="적합",E49="적합"),"통과","미달"))</f>
        <v/>
      </c>
      <c r="L49" s="10" t="str">
        <f aca="false">IF(F49="","",IF(F49&gt;='검증 기준'!$B$5,"통과","미달"))</f>
        <v/>
      </c>
      <c r="M49" s="10" t="str">
        <f aca="false">IF(G49="","",IF(G49&lt;='검증 기준'!$B$6,"통과","불안정"))</f>
        <v/>
      </c>
      <c r="N49" s="10" t="str">
        <f aca="false">IF(OR(H49="",I49=""),"",IF(OR(AND(H49&gt;='검증 기준'!$B$7,H49&lt;=I49-'검증 기준'!$B$8),C49="고"),"통과","예비"))</f>
        <v/>
      </c>
      <c r="O49" s="10" t="str">
        <f aca="false">IF(J49="예","공급 공백",IF(OR(K49="",L49="",M49="",N49=""),"",IF(AND(K49="통과",L49="통과",N49="통과"),IF(M49="통과","패널","패널(불안정)"),IF(N49="예비","예비","제외"))))</f>
        <v/>
      </c>
    </row>
    <row r="50" customFormat="false" ht="29.85" hidden="false" customHeight="false" outlineLevel="0" collapsed="false">
      <c r="A50" s="10" t="str">
        <f aca="false">'템플릿 문항'!A49</f>
        <v>Q046</v>
      </c>
      <c r="B50" s="10" t="str">
        <f aca="false">'템플릿 문항'!E49</f>
        <v>{지자체} 거주자우선주차 구역에 다른 차가 있으면 어떻게 하나요?</v>
      </c>
      <c r="C50" s="10" t="str">
        <f aca="false">'템플릿 문항'!H49</f>
        <v>중</v>
      </c>
      <c r="D50" s="20"/>
      <c r="E50" s="20"/>
      <c r="F50" s="21"/>
      <c r="G50" s="21"/>
      <c r="H50" s="21"/>
      <c r="I50" s="21" t="n">
        <v>5</v>
      </c>
      <c r="J50" s="20"/>
      <c r="K50" s="10" t="str">
        <f aca="false">IF(OR(D50="",E50=""),"",IF(AND(D50="적합",E50="적합"),"통과","미달"))</f>
        <v/>
      </c>
      <c r="L50" s="10" t="str">
        <f aca="false">IF(F50="","",IF(F50&gt;='검증 기준'!$B$5,"통과","미달"))</f>
        <v/>
      </c>
      <c r="M50" s="10" t="str">
        <f aca="false">IF(G50="","",IF(G50&lt;='검증 기준'!$B$6,"통과","불안정"))</f>
        <v/>
      </c>
      <c r="N50" s="10" t="str">
        <f aca="false">IF(OR(H50="",I50=""),"",IF(OR(AND(H50&gt;='검증 기준'!$B$7,H50&lt;=I50-'검증 기준'!$B$8),C50="고"),"통과","예비"))</f>
        <v/>
      </c>
      <c r="O50" s="10" t="str">
        <f aca="false">IF(J50="예","공급 공백",IF(OR(K50="",L50="",M50="",N50=""),"",IF(AND(K50="통과",L50="통과",N50="통과"),IF(M50="통과","패널","패널(불안정)"),IF(N50="예비","예비","제외"))))</f>
        <v/>
      </c>
    </row>
    <row r="51" customFormat="false" ht="15" hidden="false" customHeight="false" outlineLevel="0" collapsed="false">
      <c r="A51" s="10" t="str">
        <f aca="false">'템플릿 문항'!A50</f>
        <v>Q047</v>
      </c>
      <c r="B51" s="10" t="str">
        <f aca="false">'템플릿 문항'!E50</f>
        <v>{지자체} 공영주차장 요금은 얼마인가요?</v>
      </c>
      <c r="C51" s="10" t="str">
        <f aca="false">'템플릿 문항'!H50</f>
        <v>저</v>
      </c>
      <c r="D51" s="20"/>
      <c r="E51" s="20"/>
      <c r="F51" s="21"/>
      <c r="G51" s="21"/>
      <c r="H51" s="21"/>
      <c r="I51" s="21" t="n">
        <v>5</v>
      </c>
      <c r="J51" s="20"/>
      <c r="K51" s="10" t="str">
        <f aca="false">IF(OR(D51="",E51=""),"",IF(AND(D51="적합",E51="적합"),"통과","미달"))</f>
        <v/>
      </c>
      <c r="L51" s="10" t="str">
        <f aca="false">IF(F51="","",IF(F51&gt;='검증 기준'!$B$5,"통과","미달"))</f>
        <v/>
      </c>
      <c r="M51" s="10" t="str">
        <f aca="false">IF(G51="","",IF(G51&lt;='검증 기준'!$B$6,"통과","불안정"))</f>
        <v/>
      </c>
      <c r="N51" s="10" t="str">
        <f aca="false">IF(OR(H51="",I51=""),"",IF(OR(AND(H51&gt;='검증 기준'!$B$7,H51&lt;=I51-'검증 기준'!$B$8),C51="고"),"통과","예비"))</f>
        <v/>
      </c>
      <c r="O51" s="10" t="str">
        <f aca="false">IF(J51="예","공급 공백",IF(OR(K51="",L51="",M51="",N51=""),"",IF(AND(K51="통과",L51="통과",N51="통과"),IF(M51="통과","패널","패널(불안정)"),IF(N51="예비","예비","제외"))))</f>
        <v/>
      </c>
    </row>
    <row r="52" customFormat="false" ht="15" hidden="false" customHeight="false" outlineLevel="0" collapsed="false">
      <c r="A52" s="10" t="str">
        <f aca="false">'템플릿 문항'!A51</f>
        <v>Q048</v>
      </c>
      <c r="B52" s="10" t="str">
        <f aca="false">'템플릿 문항'!E51</f>
        <v>{지자체} 공영주차장 {감면대상} 할인되나요?</v>
      </c>
      <c r="C52" s="10" t="str">
        <f aca="false">'템플릿 문항'!H51</f>
        <v>저</v>
      </c>
      <c r="D52" s="20"/>
      <c r="E52" s="20"/>
      <c r="F52" s="21"/>
      <c r="G52" s="21"/>
      <c r="H52" s="21"/>
      <c r="I52" s="21" t="n">
        <v>5</v>
      </c>
      <c r="J52" s="20"/>
      <c r="K52" s="10" t="str">
        <f aca="false">IF(OR(D52="",E52=""),"",IF(AND(D52="적합",E52="적합"),"통과","미달"))</f>
        <v/>
      </c>
      <c r="L52" s="10" t="str">
        <f aca="false">IF(F52="","",IF(F52&gt;='검증 기준'!$B$5,"통과","미달"))</f>
        <v/>
      </c>
      <c r="M52" s="10" t="str">
        <f aca="false">IF(G52="","",IF(G52&lt;='검증 기준'!$B$6,"통과","불안정"))</f>
        <v/>
      </c>
      <c r="N52" s="10" t="str">
        <f aca="false">IF(OR(H52="",I52=""),"",IF(OR(AND(H52&gt;='검증 기준'!$B$7,H52&lt;=I52-'검증 기준'!$B$8),C52="고"),"통과","예비"))</f>
        <v/>
      </c>
      <c r="O52" s="10" t="str">
        <f aca="false">IF(J52="예","공급 공백",IF(OR(K52="",L52="",M52="",N52=""),"",IF(AND(K52="통과",L52="통과",N52="통과"),IF(M52="통과","패널","패널(불안정)"),IF(N52="예비","예비","제외"))))</f>
        <v/>
      </c>
    </row>
    <row r="53" customFormat="false" ht="15" hidden="false" customHeight="false" outlineLevel="0" collapsed="false">
      <c r="A53" s="10" t="str">
        <f aca="false">'템플릿 문항'!A52</f>
        <v>Q049</v>
      </c>
      <c r="B53" s="10" t="str">
        <f aca="false">'템플릿 문항'!E52</f>
        <v>{지자체} 공영주차장 운영 시간이 언제인가요?</v>
      </c>
      <c r="C53" s="10" t="str">
        <f aca="false">'템플릿 문항'!H52</f>
        <v>저</v>
      </c>
      <c r="D53" s="20"/>
      <c r="E53" s="20"/>
      <c r="F53" s="21"/>
      <c r="G53" s="21"/>
      <c r="H53" s="21"/>
      <c r="I53" s="21" t="n">
        <v>5</v>
      </c>
      <c r="J53" s="20"/>
      <c r="K53" s="10" t="str">
        <f aca="false">IF(OR(D53="",E53=""),"",IF(AND(D53="적합",E53="적합"),"통과","미달"))</f>
        <v/>
      </c>
      <c r="L53" s="10" t="str">
        <f aca="false">IF(F53="","",IF(F53&gt;='검증 기준'!$B$5,"통과","미달"))</f>
        <v/>
      </c>
      <c r="M53" s="10" t="str">
        <f aca="false">IF(G53="","",IF(G53&lt;='검증 기준'!$B$6,"통과","불안정"))</f>
        <v/>
      </c>
      <c r="N53" s="10" t="str">
        <f aca="false">IF(OR(H53="",I53=""),"",IF(OR(AND(H53&gt;='검증 기준'!$B$7,H53&lt;=I53-'검증 기준'!$B$8),C53="고"),"통과","예비"))</f>
        <v/>
      </c>
      <c r="O53" s="10" t="str">
        <f aca="false">IF(J53="예","공급 공백",IF(OR(K53="",L53="",M53="",N53=""),"",IF(AND(K53="통과",L53="통과",N53="통과"),IF(M53="통과","패널","패널(불안정)"),IF(N53="예비","예비","제외"))))</f>
        <v/>
      </c>
    </row>
    <row r="54" customFormat="false" ht="15" hidden="false" customHeight="false" outlineLevel="0" collapsed="false">
      <c r="A54" s="10" t="str">
        <f aca="false">'템플릿 문항'!A53</f>
        <v>Q050</v>
      </c>
      <c r="B54" s="10" t="str">
        <f aca="false">'템플릿 문항'!E53</f>
        <v>{지자체} 공영주차장 월정기권은 어떻게 신청하나요?</v>
      </c>
      <c r="C54" s="10" t="str">
        <f aca="false">'템플릿 문항'!H53</f>
        <v>저</v>
      </c>
      <c r="D54" s="20"/>
      <c r="E54" s="20"/>
      <c r="F54" s="21"/>
      <c r="G54" s="21"/>
      <c r="H54" s="21"/>
      <c r="I54" s="21" t="n">
        <v>5</v>
      </c>
      <c r="J54" s="20"/>
      <c r="K54" s="10" t="str">
        <f aca="false">IF(OR(D54="",E54=""),"",IF(AND(D54="적합",E54="적합"),"통과","미달"))</f>
        <v/>
      </c>
      <c r="L54" s="10" t="str">
        <f aca="false">IF(F54="","",IF(F54&gt;='검증 기준'!$B$5,"통과","미달"))</f>
        <v/>
      </c>
      <c r="M54" s="10" t="str">
        <f aca="false">IF(G54="","",IF(G54&lt;='검증 기준'!$B$6,"통과","불안정"))</f>
        <v/>
      </c>
      <c r="N54" s="10" t="str">
        <f aca="false">IF(OR(H54="",I54=""),"",IF(OR(AND(H54&gt;='검증 기준'!$B$7,H54&lt;=I54-'검증 기준'!$B$8),C54="고"),"통과","예비"))</f>
        <v/>
      </c>
      <c r="O54" s="10" t="str">
        <f aca="false">IF(J54="예","공급 공백",IF(OR(K54="",L54="",M54="",N54=""),"",IF(AND(K54="통과",L54="통과",N54="통과"),IF(M54="통과","패널","패널(불안정)"),IF(N54="예비","예비","제외"))))</f>
        <v/>
      </c>
    </row>
    <row r="55" customFormat="false" ht="15" hidden="false" customHeight="false" outlineLevel="0" collapsed="false">
      <c r="A55" s="10" t="str">
        <f aca="false">'템플릿 문항'!A54</f>
        <v>Q051</v>
      </c>
      <c r="B55" s="10" t="str">
        <f aca="false">'템플릿 문항'!E54</f>
        <v>{지자체}에서 차가 견인되면 어디로 가나요?</v>
      </c>
      <c r="C55" s="10" t="str">
        <f aca="false">'템플릿 문항'!H54</f>
        <v>고</v>
      </c>
      <c r="D55" s="20"/>
      <c r="E55" s="20"/>
      <c r="F55" s="21"/>
      <c r="G55" s="21"/>
      <c r="H55" s="21"/>
      <c r="I55" s="21" t="n">
        <v>5</v>
      </c>
      <c r="J55" s="20"/>
      <c r="K55" s="10" t="str">
        <f aca="false">IF(OR(D55="",E55=""),"",IF(AND(D55="적합",E55="적합"),"통과","미달"))</f>
        <v/>
      </c>
      <c r="L55" s="10" t="str">
        <f aca="false">IF(F55="","",IF(F55&gt;='검증 기준'!$B$5,"통과","미달"))</f>
        <v/>
      </c>
      <c r="M55" s="10" t="str">
        <f aca="false">IF(G55="","",IF(G55&lt;='검증 기준'!$B$6,"통과","불안정"))</f>
        <v/>
      </c>
      <c r="N55" s="10" t="str">
        <f aca="false">IF(OR(H55="",I55=""),"",IF(OR(AND(H55&gt;='검증 기준'!$B$7,H55&lt;=I55-'검증 기준'!$B$8),C55="고"),"통과","예비"))</f>
        <v/>
      </c>
      <c r="O55" s="10" t="str">
        <f aca="false">IF(J55="예","공급 공백",IF(OR(K55="",L55="",M55="",N55=""),"",IF(AND(K55="통과",L55="통과",N55="통과"),IF(M55="통과","패널","패널(불안정)"),IF(N55="예비","예비","제외"))))</f>
        <v/>
      </c>
    </row>
    <row r="56" customFormat="false" ht="15" hidden="false" customHeight="false" outlineLevel="0" collapsed="false">
      <c r="A56" s="10" t="str">
        <f aca="false">'템플릿 문항'!A55</f>
        <v>Q052</v>
      </c>
      <c r="B56" s="10" t="str">
        <f aca="false">'템플릿 문항'!E55</f>
        <v>{지자체} 견인 보관소 전화번호가 뭔가요?</v>
      </c>
      <c r="C56" s="10" t="str">
        <f aca="false">'템플릿 문항'!H55</f>
        <v>고</v>
      </c>
      <c r="D56" s="20"/>
      <c r="E56" s="20"/>
      <c r="F56" s="21"/>
      <c r="G56" s="21"/>
      <c r="H56" s="21"/>
      <c r="I56" s="21" t="n">
        <v>5</v>
      </c>
      <c r="J56" s="20"/>
      <c r="K56" s="10" t="str">
        <f aca="false">IF(OR(D56="",E56=""),"",IF(AND(D56="적합",E56="적합"),"통과","미달"))</f>
        <v/>
      </c>
      <c r="L56" s="10" t="str">
        <f aca="false">IF(F56="","",IF(F56&gt;='검증 기준'!$B$5,"통과","미달"))</f>
        <v/>
      </c>
      <c r="M56" s="10" t="str">
        <f aca="false">IF(G56="","",IF(G56&lt;='검증 기준'!$B$6,"통과","불안정"))</f>
        <v/>
      </c>
      <c r="N56" s="10" t="str">
        <f aca="false">IF(OR(H56="",I56=""),"",IF(OR(AND(H56&gt;='검증 기준'!$B$7,H56&lt;=I56-'검증 기준'!$B$8),C56="고"),"통과","예비"))</f>
        <v/>
      </c>
      <c r="O56" s="10" t="str">
        <f aca="false">IF(J56="예","공급 공백",IF(OR(K56="",L56="",M56="",N56=""),"",IF(AND(K56="통과",L56="통과",N56="통과"),IF(M56="통과","패널","패널(불안정)"),IF(N56="예비","예비","제외"))))</f>
        <v/>
      </c>
    </row>
    <row r="57" customFormat="false" ht="15" hidden="false" customHeight="false" outlineLevel="0" collapsed="false">
      <c r="A57" s="10" t="str">
        <f aca="false">'템플릿 문항'!A56</f>
        <v>Q053</v>
      </c>
      <c r="B57" s="10" t="str">
        <f aca="false">'템플릿 문항'!E56</f>
        <v>{지자체} 견인 비용과 보관료는 얼마인가요?</v>
      </c>
      <c r="C57" s="10" t="str">
        <f aca="false">'템플릿 문항'!H56</f>
        <v>고</v>
      </c>
      <c r="D57" s="20"/>
      <c r="E57" s="20"/>
      <c r="F57" s="21"/>
      <c r="G57" s="21"/>
      <c r="H57" s="21"/>
      <c r="I57" s="21" t="n">
        <v>5</v>
      </c>
      <c r="J57" s="20"/>
      <c r="K57" s="10" t="str">
        <f aca="false">IF(OR(D57="",E57=""),"",IF(AND(D57="적합",E57="적합"),"통과","미달"))</f>
        <v/>
      </c>
      <c r="L57" s="10" t="str">
        <f aca="false">IF(F57="","",IF(F57&gt;='검증 기준'!$B$5,"통과","미달"))</f>
        <v/>
      </c>
      <c r="M57" s="10" t="str">
        <f aca="false">IF(G57="","",IF(G57&lt;='검증 기준'!$B$6,"통과","불안정"))</f>
        <v/>
      </c>
      <c r="N57" s="10" t="str">
        <f aca="false">IF(OR(H57="",I57=""),"",IF(OR(AND(H57&gt;='검증 기준'!$B$7,H57&lt;=I57-'검증 기준'!$B$8),C57="고"),"통과","예비"))</f>
        <v/>
      </c>
      <c r="O57" s="10" t="str">
        <f aca="false">IF(J57="예","공급 공백",IF(OR(K57="",L57="",M57="",N57=""),"",IF(AND(K57="통과",L57="통과",N57="통과"),IF(M57="통과","패널","패널(불안정)"),IF(N57="예비","예비","제외"))))</f>
        <v/>
      </c>
    </row>
    <row r="58" customFormat="false" ht="15" hidden="false" customHeight="false" outlineLevel="0" collapsed="false">
      <c r="A58" s="10" t="str">
        <f aca="false">'템플릿 문항'!A57</f>
        <v>Q054</v>
      </c>
      <c r="B58" s="10" t="str">
        <f aca="false">'템플릿 문항'!E57</f>
        <v>{지자체} 견인된 차 찾을 때 필요한 서류가 뭔가요?</v>
      </c>
      <c r="C58" s="10" t="str">
        <f aca="false">'템플릿 문항'!H57</f>
        <v>고</v>
      </c>
      <c r="D58" s="20"/>
      <c r="E58" s="20"/>
      <c r="F58" s="21"/>
      <c r="G58" s="21"/>
      <c r="H58" s="21"/>
      <c r="I58" s="21" t="n">
        <v>5</v>
      </c>
      <c r="J58" s="20"/>
      <c r="K58" s="10" t="str">
        <f aca="false">IF(OR(D58="",E58=""),"",IF(AND(D58="적합",E58="적합"),"통과","미달"))</f>
        <v/>
      </c>
      <c r="L58" s="10" t="str">
        <f aca="false">IF(F58="","",IF(F58&gt;='검증 기준'!$B$5,"통과","미달"))</f>
        <v/>
      </c>
      <c r="M58" s="10" t="str">
        <f aca="false">IF(G58="","",IF(G58&lt;='검증 기준'!$B$6,"통과","불안정"))</f>
        <v/>
      </c>
      <c r="N58" s="10" t="str">
        <f aca="false">IF(OR(H58="",I58=""),"",IF(OR(AND(H58&gt;='검증 기준'!$B$7,H58&lt;=I58-'검증 기준'!$B$8),C58="고"),"통과","예비"))</f>
        <v/>
      </c>
      <c r="O58" s="10" t="str">
        <f aca="false">IF(J58="예","공급 공백",IF(OR(K58="",L58="",M58="",N58=""),"",IF(AND(K58="통과",L58="통과",N58="통과"),IF(M58="통과","패널","패널(불안정)"),IF(N58="예비","예비","제외"))))</f>
        <v/>
      </c>
    </row>
    <row r="59" customFormat="false" ht="15" hidden="false" customHeight="false" outlineLevel="0" collapsed="false">
      <c r="A59" s="10" t="str">
        <f aca="false">'템플릿 문항'!A58</f>
        <v>Q055</v>
      </c>
      <c r="B59" s="10" t="str">
        <f aca="false">'템플릿 문항'!E58</f>
        <v>{지자체} 보건소 진료 시간이 언제인가요?</v>
      </c>
      <c r="C59" s="10" t="str">
        <f aca="false">'템플릿 문항'!H58</f>
        <v>고</v>
      </c>
      <c r="D59" s="20"/>
      <c r="E59" s="20"/>
      <c r="F59" s="21"/>
      <c r="G59" s="21"/>
      <c r="H59" s="21"/>
      <c r="I59" s="21" t="n">
        <v>5</v>
      </c>
      <c r="J59" s="20"/>
      <c r="K59" s="10" t="str">
        <f aca="false">IF(OR(D59="",E59=""),"",IF(AND(D59="적합",E59="적합"),"통과","미달"))</f>
        <v/>
      </c>
      <c r="L59" s="10" t="str">
        <f aca="false">IF(F59="","",IF(F59&gt;='검증 기준'!$B$5,"통과","미달"))</f>
        <v/>
      </c>
      <c r="M59" s="10" t="str">
        <f aca="false">IF(G59="","",IF(G59&lt;='검증 기준'!$B$6,"통과","불안정"))</f>
        <v/>
      </c>
      <c r="N59" s="10" t="str">
        <f aca="false">IF(OR(H59="",I59=""),"",IF(OR(AND(H59&gt;='검증 기준'!$B$7,H59&lt;=I59-'검증 기준'!$B$8),C59="고"),"통과","예비"))</f>
        <v/>
      </c>
      <c r="O59" s="10" t="str">
        <f aca="false">IF(J59="예","공급 공백",IF(OR(K59="",L59="",M59="",N59=""),"",IF(AND(K59="통과",L59="통과",N59="통과"),IF(M59="통과","패널","패널(불안정)"),IF(N59="예비","예비","제외"))))</f>
        <v/>
      </c>
    </row>
    <row r="60" customFormat="false" ht="15" hidden="false" customHeight="false" outlineLevel="0" collapsed="false">
      <c r="A60" s="10" t="str">
        <f aca="false">'템플릿 문항'!A59</f>
        <v>Q056</v>
      </c>
      <c r="B60" s="10" t="str">
        <f aca="false">'템플릿 문항'!E59</f>
        <v>{지자체} 보건소에서 {검사} 검사를 받을 수 있나요?</v>
      </c>
      <c r="C60" s="10" t="str">
        <f aca="false">'템플릿 문항'!H59</f>
        <v>고</v>
      </c>
      <c r="D60" s="20"/>
      <c r="E60" s="20"/>
      <c r="F60" s="21"/>
      <c r="G60" s="21"/>
      <c r="H60" s="21"/>
      <c r="I60" s="21" t="n">
        <v>5</v>
      </c>
      <c r="J60" s="20"/>
      <c r="K60" s="10" t="str">
        <f aca="false">IF(OR(D60="",E60=""),"",IF(AND(D60="적합",E60="적합"),"통과","미달"))</f>
        <v/>
      </c>
      <c r="L60" s="10" t="str">
        <f aca="false">IF(F60="","",IF(F60&gt;='검증 기준'!$B$5,"통과","미달"))</f>
        <v/>
      </c>
      <c r="M60" s="10" t="str">
        <f aca="false">IF(G60="","",IF(G60&lt;='검증 기준'!$B$6,"통과","불안정"))</f>
        <v/>
      </c>
      <c r="N60" s="10" t="str">
        <f aca="false">IF(OR(H60="",I60=""),"",IF(OR(AND(H60&gt;='검증 기준'!$B$7,H60&lt;=I60-'검증 기준'!$B$8),C60="고"),"통과","예비"))</f>
        <v/>
      </c>
      <c r="O60" s="10" t="str">
        <f aca="false">IF(J60="예","공급 공백",IF(OR(K60="",L60="",M60="",N60=""),"",IF(AND(K60="통과",L60="통과",N60="통과"),IF(M60="통과","패널","패널(불안정)"),IF(N60="예비","예비","제외"))))</f>
        <v/>
      </c>
    </row>
    <row r="61" customFormat="false" ht="15" hidden="false" customHeight="false" outlineLevel="0" collapsed="false">
      <c r="A61" s="10" t="str">
        <f aca="false">'템플릿 문항'!A60</f>
        <v>Q057</v>
      </c>
      <c r="B61" s="10" t="str">
        <f aca="false">'템플릿 문항'!E60</f>
        <v>{지자체} 보건소 {검사} 검사 비용이 얼마인가요?</v>
      </c>
      <c r="C61" s="10" t="str">
        <f aca="false">'템플릿 문항'!H60</f>
        <v>중</v>
      </c>
      <c r="D61" s="20"/>
      <c r="E61" s="20"/>
      <c r="F61" s="21"/>
      <c r="G61" s="21"/>
      <c r="H61" s="21"/>
      <c r="I61" s="21" t="n">
        <v>5</v>
      </c>
      <c r="J61" s="20"/>
      <c r="K61" s="10" t="str">
        <f aca="false">IF(OR(D61="",E61=""),"",IF(AND(D61="적합",E61="적합"),"통과","미달"))</f>
        <v/>
      </c>
      <c r="L61" s="10" t="str">
        <f aca="false">IF(F61="","",IF(F61&gt;='검증 기준'!$B$5,"통과","미달"))</f>
        <v/>
      </c>
      <c r="M61" s="10" t="str">
        <f aca="false">IF(G61="","",IF(G61&lt;='검증 기준'!$B$6,"통과","불안정"))</f>
        <v/>
      </c>
      <c r="N61" s="10" t="str">
        <f aca="false">IF(OR(H61="",I61=""),"",IF(OR(AND(H61&gt;='검증 기준'!$B$7,H61&lt;=I61-'검증 기준'!$B$8),C61="고"),"통과","예비"))</f>
        <v/>
      </c>
      <c r="O61" s="10" t="str">
        <f aca="false">IF(J61="예","공급 공백",IF(OR(K61="",L61="",M61="",N61=""),"",IF(AND(K61="통과",L61="통과",N61="통과"),IF(M61="통과","패널","패널(불안정)"),IF(N61="예비","예비","제외"))))</f>
        <v/>
      </c>
    </row>
    <row r="62" customFormat="false" ht="15" hidden="false" customHeight="false" outlineLevel="0" collapsed="false">
      <c r="A62" s="10" t="str">
        <f aca="false">'템플릿 문항'!A61</f>
        <v>Q058</v>
      </c>
      <c r="B62" s="10" t="str">
        <f aca="false">'템플릿 문항'!E61</f>
        <v>{지자체} 보건소 전화번호가 뭔가요?</v>
      </c>
      <c r="C62" s="10" t="str">
        <f aca="false">'템플릿 문항'!H61</f>
        <v>고</v>
      </c>
      <c r="D62" s="20"/>
      <c r="E62" s="20"/>
      <c r="F62" s="21"/>
      <c r="G62" s="21"/>
      <c r="H62" s="21"/>
      <c r="I62" s="21" t="n">
        <v>5</v>
      </c>
      <c r="J62" s="20"/>
      <c r="K62" s="10" t="str">
        <f aca="false">IF(OR(D62="",E62=""),"",IF(AND(D62="적합",E62="적합"),"통과","미달"))</f>
        <v/>
      </c>
      <c r="L62" s="10" t="str">
        <f aca="false">IF(F62="","",IF(F62&gt;='검증 기준'!$B$5,"통과","미달"))</f>
        <v/>
      </c>
      <c r="M62" s="10" t="str">
        <f aca="false">IF(G62="","",IF(G62&lt;='검증 기준'!$B$6,"통과","불안정"))</f>
        <v/>
      </c>
      <c r="N62" s="10" t="str">
        <f aca="false">IF(OR(H62="",I62=""),"",IF(OR(AND(H62&gt;='검증 기준'!$B$7,H62&lt;=I62-'검증 기준'!$B$8),C62="고"),"통과","예비"))</f>
        <v/>
      </c>
      <c r="O62" s="10" t="str">
        <f aca="false">IF(J62="예","공급 공백",IF(OR(K62="",L62="",M62="",N62=""),"",IF(AND(K62="통과",L62="통과",N62="통과"),IF(M62="통과","패널","패널(불안정)"),IF(N62="예비","예비","제외"))))</f>
        <v/>
      </c>
    </row>
    <row r="63" customFormat="false" ht="15" hidden="false" customHeight="false" outlineLevel="0" collapsed="false">
      <c r="A63" s="10" t="str">
        <f aca="false">'템플릿 문항'!A62</f>
        <v>Q059</v>
      </c>
      <c r="B63" s="10" t="str">
        <f aca="false">'템플릿 문항'!E62</f>
        <v>{지자체} 보건소 금연클리닉은 어떻게 신청하나요?</v>
      </c>
      <c r="C63" s="10" t="str">
        <f aca="false">'템플릿 문항'!H62</f>
        <v>중</v>
      </c>
      <c r="D63" s="20"/>
      <c r="E63" s="20"/>
      <c r="F63" s="21"/>
      <c r="G63" s="21"/>
      <c r="H63" s="21"/>
      <c r="I63" s="21" t="n">
        <v>5</v>
      </c>
      <c r="J63" s="20"/>
      <c r="K63" s="10" t="str">
        <f aca="false">IF(OR(D63="",E63=""),"",IF(AND(D63="적합",E63="적합"),"통과","미달"))</f>
        <v/>
      </c>
      <c r="L63" s="10" t="str">
        <f aca="false">IF(F63="","",IF(F63&gt;='검증 기준'!$B$5,"통과","미달"))</f>
        <v/>
      </c>
      <c r="M63" s="10" t="str">
        <f aca="false">IF(G63="","",IF(G63&lt;='검증 기준'!$B$6,"통과","불안정"))</f>
        <v/>
      </c>
      <c r="N63" s="10" t="str">
        <f aca="false">IF(OR(H63="",I63=""),"",IF(OR(AND(H63&gt;='검증 기준'!$B$7,H63&lt;=I63-'검증 기준'!$B$8),C63="고"),"통과","예비"))</f>
        <v/>
      </c>
      <c r="O63" s="10" t="str">
        <f aca="false">IF(J63="예","공급 공백",IF(OR(K63="",L63="",M63="",N63=""),"",IF(AND(K63="통과",L63="통과",N63="통과"),IF(M63="통과","패널","패널(불안정)"),IF(N63="예비","예비","제외"))))</f>
        <v/>
      </c>
    </row>
    <row r="64" customFormat="false" ht="15" hidden="false" customHeight="false" outlineLevel="0" collapsed="false">
      <c r="A64" s="10" t="str">
        <f aca="false">'템플릿 문항'!A63</f>
        <v>Q060</v>
      </c>
      <c r="B64" s="10" t="str">
        <f aca="false">'템플릿 문항'!E63</f>
        <v>{지자체} 보건소 주소가 어디인가요?</v>
      </c>
      <c r="C64" s="10" t="str">
        <f aca="false">'템플릿 문항'!H63</f>
        <v>고</v>
      </c>
      <c r="D64" s="20"/>
      <c r="E64" s="20"/>
      <c r="F64" s="21"/>
      <c r="G64" s="21"/>
      <c r="H64" s="21"/>
      <c r="I64" s="21" t="n">
        <v>5</v>
      </c>
      <c r="J64" s="20"/>
      <c r="K64" s="10" t="str">
        <f aca="false">IF(OR(D64="",E64=""),"",IF(AND(D64="적합",E64="적합"),"통과","미달"))</f>
        <v/>
      </c>
      <c r="L64" s="10" t="str">
        <f aca="false">IF(F64="","",IF(F64&gt;='검증 기준'!$B$5,"통과","미달"))</f>
        <v/>
      </c>
      <c r="M64" s="10" t="str">
        <f aca="false">IF(G64="","",IF(G64&lt;='검증 기준'!$B$6,"통과","불안정"))</f>
        <v/>
      </c>
      <c r="N64" s="10" t="str">
        <f aca="false">IF(OR(H64="",I64=""),"",IF(OR(AND(H64&gt;='검증 기준'!$B$7,H64&lt;=I64-'검증 기준'!$B$8),C64="고"),"통과","예비"))</f>
        <v/>
      </c>
      <c r="O64" s="10" t="str">
        <f aca="false">IF(J64="예","공급 공백",IF(OR(K64="",L64="",M64="",N64=""),"",IF(AND(K64="통과",L64="통과",N64="통과"),IF(M64="통과","패널","패널(불안정)"),IF(N64="예비","예비","제외"))))</f>
        <v/>
      </c>
    </row>
    <row r="65" customFormat="false" ht="15" hidden="false" customHeight="false" outlineLevel="0" collapsed="false">
      <c r="A65" s="10" t="str">
        <f aca="false">'템플릿 문항'!A64</f>
        <v>Q061</v>
      </c>
      <c r="B65" s="10" t="str">
        <f aca="false">'템플릿 문항'!E64</f>
        <v>{지자체}에서 {백신} 무료 접종 대상이 누구인가요?</v>
      </c>
      <c r="C65" s="10" t="str">
        <f aca="false">'템플릿 문항'!H64</f>
        <v>고</v>
      </c>
      <c r="D65" s="20"/>
      <c r="E65" s="20"/>
      <c r="F65" s="21"/>
      <c r="G65" s="21"/>
      <c r="H65" s="21"/>
      <c r="I65" s="21" t="n">
        <v>5</v>
      </c>
      <c r="J65" s="20"/>
      <c r="K65" s="10" t="str">
        <f aca="false">IF(OR(D65="",E65=""),"",IF(AND(D65="적합",E65="적합"),"통과","미달"))</f>
        <v/>
      </c>
      <c r="L65" s="10" t="str">
        <f aca="false">IF(F65="","",IF(F65&gt;='검증 기준'!$B$5,"통과","미달"))</f>
        <v/>
      </c>
      <c r="M65" s="10" t="str">
        <f aca="false">IF(G65="","",IF(G65&lt;='검증 기준'!$B$6,"통과","불안정"))</f>
        <v/>
      </c>
      <c r="N65" s="10" t="str">
        <f aca="false">IF(OR(H65="",I65=""),"",IF(OR(AND(H65&gt;='검증 기준'!$B$7,H65&lt;=I65-'검증 기준'!$B$8),C65="고"),"통과","예비"))</f>
        <v/>
      </c>
      <c r="O65" s="10" t="str">
        <f aca="false">IF(J65="예","공급 공백",IF(OR(K65="",L65="",M65="",N65=""),"",IF(AND(K65="통과",L65="통과",N65="통과"),IF(M65="통과","패널","패널(불안정)"),IF(N65="예비","예비","제외"))))</f>
        <v/>
      </c>
    </row>
    <row r="66" customFormat="false" ht="15" hidden="false" customHeight="false" outlineLevel="0" collapsed="false">
      <c r="A66" s="10" t="str">
        <f aca="false">'템플릿 문항'!A65</f>
        <v>Q062</v>
      </c>
      <c r="B66" s="10" t="str">
        <f aca="false">'템플릿 문항'!E65</f>
        <v>{지자체} {백신} 접종은 어디서 받나요?</v>
      </c>
      <c r="C66" s="10" t="str">
        <f aca="false">'템플릿 문항'!H65</f>
        <v>고</v>
      </c>
      <c r="D66" s="20"/>
      <c r="E66" s="20"/>
      <c r="F66" s="21"/>
      <c r="G66" s="21"/>
      <c r="H66" s="21"/>
      <c r="I66" s="21" t="n">
        <v>5</v>
      </c>
      <c r="J66" s="20"/>
      <c r="K66" s="10" t="str">
        <f aca="false">IF(OR(D66="",E66=""),"",IF(AND(D66="적합",E66="적합"),"통과","미달"))</f>
        <v/>
      </c>
      <c r="L66" s="10" t="str">
        <f aca="false">IF(F66="","",IF(F66&gt;='검증 기준'!$B$5,"통과","미달"))</f>
        <v/>
      </c>
      <c r="M66" s="10" t="str">
        <f aca="false">IF(G66="","",IF(G66&lt;='검증 기준'!$B$6,"통과","불안정"))</f>
        <v/>
      </c>
      <c r="N66" s="10" t="str">
        <f aca="false">IF(OR(H66="",I66=""),"",IF(OR(AND(H66&gt;='검증 기준'!$B$7,H66&lt;=I66-'검증 기준'!$B$8),C66="고"),"통과","예비"))</f>
        <v/>
      </c>
      <c r="O66" s="10" t="str">
        <f aca="false">IF(J66="예","공급 공백",IF(OR(K66="",L66="",M66="",N66=""),"",IF(AND(K66="통과",L66="통과",N66="통과"),IF(M66="통과","패널","패널(불안정)"),IF(N66="예비","예비","제외"))))</f>
        <v/>
      </c>
    </row>
    <row r="67" customFormat="false" ht="15" hidden="false" customHeight="false" outlineLevel="0" collapsed="false">
      <c r="A67" s="10" t="str">
        <f aca="false">'템플릿 문항'!A66</f>
        <v>Q063</v>
      </c>
      <c r="B67" s="10" t="str">
        <f aca="false">'템플릿 문항'!E66</f>
        <v>{지자체} 독감 예방접종 시작일이 언제인가요?</v>
      </c>
      <c r="C67" s="10" t="str">
        <f aca="false">'템플릿 문항'!H66</f>
        <v>고</v>
      </c>
      <c r="D67" s="20"/>
      <c r="E67" s="20"/>
      <c r="F67" s="21"/>
      <c r="G67" s="21"/>
      <c r="H67" s="21"/>
      <c r="I67" s="21" t="n">
        <v>5</v>
      </c>
      <c r="J67" s="20"/>
      <c r="K67" s="10" t="str">
        <f aca="false">IF(OR(D67="",E67=""),"",IF(AND(D67="적합",E67="적합"),"통과","미달"))</f>
        <v/>
      </c>
      <c r="L67" s="10" t="str">
        <f aca="false">IF(F67="","",IF(F67&gt;='검증 기준'!$B$5,"통과","미달"))</f>
        <v/>
      </c>
      <c r="M67" s="10" t="str">
        <f aca="false">IF(G67="","",IF(G67&lt;='검증 기준'!$B$6,"통과","불안정"))</f>
        <v/>
      </c>
      <c r="N67" s="10" t="str">
        <f aca="false">IF(OR(H67="",I67=""),"",IF(OR(AND(H67&gt;='검증 기준'!$B$7,H67&lt;=I67-'검증 기준'!$B$8),C67="고"),"통과","예비"))</f>
        <v/>
      </c>
      <c r="O67" s="10" t="str">
        <f aca="false">IF(J67="예","공급 공백",IF(OR(K67="",L67="",M67="",N67=""),"",IF(AND(K67="통과",L67="통과",N67="통과"),IF(M67="통과","패널","패널(불안정)"),IF(N67="예비","예비","제외"))))</f>
        <v/>
      </c>
    </row>
    <row r="68" customFormat="false" ht="15" hidden="false" customHeight="false" outlineLevel="0" collapsed="false">
      <c r="A68" s="10" t="str">
        <f aca="false">'템플릿 문항'!A67</f>
        <v>Q064</v>
      </c>
      <c r="B68" s="10" t="str">
        <f aca="false">'템플릿 문항'!E67</f>
        <v>{지자체} 영유아 예방접종 보건소 예약은 어떻게 하나요?</v>
      </c>
      <c r="C68" s="10" t="str">
        <f aca="false">'템플릿 문항'!H67</f>
        <v>고</v>
      </c>
      <c r="D68" s="20"/>
      <c r="E68" s="20"/>
      <c r="F68" s="21"/>
      <c r="G68" s="21"/>
      <c r="H68" s="21"/>
      <c r="I68" s="21" t="n">
        <v>5</v>
      </c>
      <c r="J68" s="20"/>
      <c r="K68" s="10" t="str">
        <f aca="false">IF(OR(D68="",E68=""),"",IF(AND(D68="적합",E68="적합"),"통과","미달"))</f>
        <v/>
      </c>
      <c r="L68" s="10" t="str">
        <f aca="false">IF(F68="","",IF(F68&gt;='검증 기준'!$B$5,"통과","미달"))</f>
        <v/>
      </c>
      <c r="M68" s="10" t="str">
        <f aca="false">IF(G68="","",IF(G68&lt;='검증 기준'!$B$6,"통과","불안정"))</f>
        <v/>
      </c>
      <c r="N68" s="10" t="str">
        <f aca="false">IF(OR(H68="",I68=""),"",IF(OR(AND(H68&gt;='검증 기준'!$B$7,H68&lt;=I68-'검증 기준'!$B$8),C68="고"),"통과","예비"))</f>
        <v/>
      </c>
      <c r="O68" s="10" t="str">
        <f aca="false">IF(J68="예","공급 공백",IF(OR(K68="",L68="",M68="",N68=""),"",IF(AND(K68="통과",L68="통과",N68="통과"),IF(M68="통과","패널","패널(불안정)"),IF(N68="예비","예비","제외"))))</f>
        <v/>
      </c>
    </row>
    <row r="69" customFormat="false" ht="15" hidden="false" customHeight="false" outlineLevel="0" collapsed="false">
      <c r="A69" s="10" t="str">
        <f aca="false">'템플릿 문항'!A68</f>
        <v>Q065</v>
      </c>
      <c r="B69" s="10" t="str">
        <f aca="false">'템플릿 문항'!E68</f>
        <v>{지자체} 치매안심센터는 어디에 있나요?</v>
      </c>
      <c r="C69" s="10" t="str">
        <f aca="false">'템플릿 문항'!H68</f>
        <v>고</v>
      </c>
      <c r="D69" s="20"/>
      <c r="E69" s="20"/>
      <c r="F69" s="21"/>
      <c r="G69" s="21"/>
      <c r="H69" s="21"/>
      <c r="I69" s="21" t="n">
        <v>5</v>
      </c>
      <c r="J69" s="20"/>
      <c r="K69" s="10" t="str">
        <f aca="false">IF(OR(D69="",E69=""),"",IF(AND(D69="적합",E69="적합"),"통과","미달"))</f>
        <v/>
      </c>
      <c r="L69" s="10" t="str">
        <f aca="false">IF(F69="","",IF(F69&gt;='검증 기준'!$B$5,"통과","미달"))</f>
        <v/>
      </c>
      <c r="M69" s="10" t="str">
        <f aca="false">IF(G69="","",IF(G69&lt;='검증 기준'!$B$6,"통과","불안정"))</f>
        <v/>
      </c>
      <c r="N69" s="10" t="str">
        <f aca="false">IF(OR(H69="",I69=""),"",IF(OR(AND(H69&gt;='검증 기준'!$B$7,H69&lt;=I69-'검증 기준'!$B$8),C69="고"),"통과","예비"))</f>
        <v/>
      </c>
      <c r="O69" s="10" t="str">
        <f aca="false">IF(J69="예","공급 공백",IF(OR(K69="",L69="",M69="",N69=""),"",IF(AND(K69="통과",L69="통과",N69="통과"),IF(M69="통과","패널","패널(불안정)"),IF(N69="예비","예비","제외"))))</f>
        <v/>
      </c>
    </row>
    <row r="70" customFormat="false" ht="15" hidden="false" customHeight="false" outlineLevel="0" collapsed="false">
      <c r="A70" s="10" t="str">
        <f aca="false">'템플릿 문항'!A69</f>
        <v>Q066</v>
      </c>
      <c r="B70" s="10" t="str">
        <f aca="false">'템플릿 문항'!E69</f>
        <v>{지자체} 치매 조기검진은 누가 받을 수 있나요?</v>
      </c>
      <c r="C70" s="10" t="str">
        <f aca="false">'템플릿 문항'!H69</f>
        <v>고</v>
      </c>
      <c r="D70" s="20"/>
      <c r="E70" s="20"/>
      <c r="F70" s="21"/>
      <c r="G70" s="21"/>
      <c r="H70" s="21"/>
      <c r="I70" s="21" t="n">
        <v>5</v>
      </c>
      <c r="J70" s="20"/>
      <c r="K70" s="10" t="str">
        <f aca="false">IF(OR(D70="",E70=""),"",IF(AND(D70="적합",E70="적합"),"통과","미달"))</f>
        <v/>
      </c>
      <c r="L70" s="10" t="str">
        <f aca="false">IF(F70="","",IF(F70&gt;='검증 기준'!$B$5,"통과","미달"))</f>
        <v/>
      </c>
      <c r="M70" s="10" t="str">
        <f aca="false">IF(G70="","",IF(G70&lt;='검증 기준'!$B$6,"통과","불안정"))</f>
        <v/>
      </c>
      <c r="N70" s="10" t="str">
        <f aca="false">IF(OR(H70="",I70=""),"",IF(OR(AND(H70&gt;='검증 기준'!$B$7,H70&lt;=I70-'검증 기준'!$B$8),C70="고"),"통과","예비"))</f>
        <v/>
      </c>
      <c r="O70" s="10" t="str">
        <f aca="false">IF(J70="예","공급 공백",IF(OR(K70="",L70="",M70="",N70=""),"",IF(AND(K70="통과",L70="통과",N70="통과"),IF(M70="통과","패널","패널(불안정)"),IF(N70="예비","예비","제외"))))</f>
        <v/>
      </c>
    </row>
    <row r="71" customFormat="false" ht="15" hidden="false" customHeight="false" outlineLevel="0" collapsed="false">
      <c r="A71" s="10" t="str">
        <f aca="false">'템플릿 문항'!A70</f>
        <v>Q067</v>
      </c>
      <c r="B71" s="10" t="str">
        <f aca="false">'템플릿 문항'!E70</f>
        <v>{지자체} 치매안심센터 전화번호 알려주세요</v>
      </c>
      <c r="C71" s="10" t="str">
        <f aca="false">'템플릿 문항'!H70</f>
        <v>고</v>
      </c>
      <c r="D71" s="20"/>
      <c r="E71" s="20"/>
      <c r="F71" s="21"/>
      <c r="G71" s="21"/>
      <c r="H71" s="21"/>
      <c r="I71" s="21" t="n">
        <v>5</v>
      </c>
      <c r="J71" s="20"/>
      <c r="K71" s="10" t="str">
        <f aca="false">IF(OR(D71="",E71=""),"",IF(AND(D71="적합",E71="적합"),"통과","미달"))</f>
        <v/>
      </c>
      <c r="L71" s="10" t="str">
        <f aca="false">IF(F71="","",IF(F71&gt;='검증 기준'!$B$5,"통과","미달"))</f>
        <v/>
      </c>
      <c r="M71" s="10" t="str">
        <f aca="false">IF(G71="","",IF(G71&lt;='검증 기준'!$B$6,"통과","불안정"))</f>
        <v/>
      </c>
      <c r="N71" s="10" t="str">
        <f aca="false">IF(OR(H71="",I71=""),"",IF(OR(AND(H71&gt;='검증 기준'!$B$7,H71&lt;=I71-'검증 기준'!$B$8),C71="고"),"통과","예비"))</f>
        <v/>
      </c>
      <c r="O71" s="10" t="str">
        <f aca="false">IF(J71="예","공급 공백",IF(OR(K71="",L71="",M71="",N71=""),"",IF(AND(K71="통과",L71="통과",N71="통과"),IF(M71="통과","패널","패널(불안정)"),IF(N71="예비","예비","제외"))))</f>
        <v/>
      </c>
    </row>
    <row r="72" customFormat="false" ht="15" hidden="false" customHeight="false" outlineLevel="0" collapsed="false">
      <c r="A72" s="10" t="str">
        <f aca="false">'템플릿 문항'!A71</f>
        <v>Q068</v>
      </c>
      <c r="B72" s="10" t="str">
        <f aca="false">'템플릿 문항'!E71</f>
        <v>{지자체} 치매 검사 비용이 얼마인가요?</v>
      </c>
      <c r="C72" s="10" t="str">
        <f aca="false">'템플릿 문항'!H71</f>
        <v>중</v>
      </c>
      <c r="D72" s="20"/>
      <c r="E72" s="20"/>
      <c r="F72" s="21"/>
      <c r="G72" s="21"/>
      <c r="H72" s="21"/>
      <c r="I72" s="21" t="n">
        <v>5</v>
      </c>
      <c r="J72" s="20"/>
      <c r="K72" s="10" t="str">
        <f aca="false">IF(OR(D72="",E72=""),"",IF(AND(D72="적합",E72="적합"),"통과","미달"))</f>
        <v/>
      </c>
      <c r="L72" s="10" t="str">
        <f aca="false">IF(F72="","",IF(F72&gt;='검증 기준'!$B$5,"통과","미달"))</f>
        <v/>
      </c>
      <c r="M72" s="10" t="str">
        <f aca="false">IF(G72="","",IF(G72&lt;='검증 기준'!$B$6,"통과","불안정"))</f>
        <v/>
      </c>
      <c r="N72" s="10" t="str">
        <f aca="false">IF(OR(H72="",I72=""),"",IF(OR(AND(H72&gt;='검증 기준'!$B$7,H72&lt;=I72-'검증 기준'!$B$8),C72="고"),"통과","예비"))</f>
        <v/>
      </c>
      <c r="O72" s="10" t="str">
        <f aca="false">IF(J72="예","공급 공백",IF(OR(K72="",L72="",M72="",N72=""),"",IF(AND(K72="통과",L72="통과",N72="통과"),IF(M72="통과","패널","패널(불안정)"),IF(N72="예비","예비","제외"))))</f>
        <v/>
      </c>
    </row>
    <row r="73" customFormat="false" ht="15" hidden="false" customHeight="false" outlineLevel="0" collapsed="false">
      <c r="A73" s="10" t="str">
        <f aca="false">'템플릿 문항'!A72</f>
        <v>Q069</v>
      </c>
      <c r="B73" s="10" t="str">
        <f aca="false">'템플릿 문항'!E72</f>
        <v>{지자체}에서 {요일} 밤에 문 여는 약국은 어디인가요?</v>
      </c>
      <c r="C73" s="10" t="str">
        <f aca="false">'템플릿 문항'!H72</f>
        <v>고</v>
      </c>
      <c r="D73" s="20"/>
      <c r="E73" s="20"/>
      <c r="F73" s="21"/>
      <c r="G73" s="21"/>
      <c r="H73" s="21"/>
      <c r="I73" s="21" t="n">
        <v>5</v>
      </c>
      <c r="J73" s="20"/>
      <c r="K73" s="10" t="str">
        <f aca="false">IF(OR(D73="",E73=""),"",IF(AND(D73="적합",E73="적합"),"통과","미달"))</f>
        <v/>
      </c>
      <c r="L73" s="10" t="str">
        <f aca="false">IF(F73="","",IF(F73&gt;='검증 기준'!$B$5,"통과","미달"))</f>
        <v/>
      </c>
      <c r="M73" s="10" t="str">
        <f aca="false">IF(G73="","",IF(G73&lt;='검증 기준'!$B$6,"통과","불안정"))</f>
        <v/>
      </c>
      <c r="N73" s="10" t="str">
        <f aca="false">IF(OR(H73="",I73=""),"",IF(OR(AND(H73&gt;='검증 기준'!$B$7,H73&lt;=I73-'검증 기준'!$B$8),C73="고"),"통과","예비"))</f>
        <v/>
      </c>
      <c r="O73" s="10" t="str">
        <f aca="false">IF(J73="예","공급 공백",IF(OR(K73="",L73="",M73="",N73=""),"",IF(AND(K73="통과",L73="통과",N73="통과"),IF(M73="통과","패널","패널(불안정)"),IF(N73="예비","예비","제외"))))</f>
        <v/>
      </c>
    </row>
    <row r="74" customFormat="false" ht="15" hidden="false" customHeight="false" outlineLevel="0" collapsed="false">
      <c r="A74" s="10" t="str">
        <f aca="false">'템플릿 문항'!A73</f>
        <v>Q070</v>
      </c>
      <c r="B74" s="10" t="str">
        <f aca="false">'템플릿 문항'!E73</f>
        <v>{지자체} 야간 진료 병원은 어디인가요?</v>
      </c>
      <c r="C74" s="10" t="str">
        <f aca="false">'템플릿 문항'!H73</f>
        <v>고</v>
      </c>
      <c r="D74" s="20"/>
      <c r="E74" s="20"/>
      <c r="F74" s="21"/>
      <c r="G74" s="21"/>
      <c r="H74" s="21"/>
      <c r="I74" s="21" t="n">
        <v>5</v>
      </c>
      <c r="J74" s="20"/>
      <c r="K74" s="10" t="str">
        <f aca="false">IF(OR(D74="",E74=""),"",IF(AND(D74="적합",E74="적합"),"통과","미달"))</f>
        <v/>
      </c>
      <c r="L74" s="10" t="str">
        <f aca="false">IF(F74="","",IF(F74&gt;='검증 기준'!$B$5,"통과","미달"))</f>
        <v/>
      </c>
      <c r="M74" s="10" t="str">
        <f aca="false">IF(G74="","",IF(G74&lt;='검증 기준'!$B$6,"통과","불안정"))</f>
        <v/>
      </c>
      <c r="N74" s="10" t="str">
        <f aca="false">IF(OR(H74="",I74=""),"",IF(OR(AND(H74&gt;='검증 기준'!$B$7,H74&lt;=I74-'검증 기준'!$B$8),C74="고"),"통과","예비"))</f>
        <v/>
      </c>
      <c r="O74" s="10" t="str">
        <f aca="false">IF(J74="예","공급 공백",IF(OR(K74="",L74="",M74="",N74=""),"",IF(AND(K74="통과",L74="통과",N74="통과"),IF(M74="통과","패널","패널(불안정)"),IF(N74="예비","예비","제외"))))</f>
        <v/>
      </c>
    </row>
    <row r="75" customFormat="false" ht="15" hidden="false" customHeight="false" outlineLevel="0" collapsed="false">
      <c r="A75" s="10" t="str">
        <f aca="false">'템플릿 문항'!A74</f>
        <v>Q071</v>
      </c>
      <c r="B75" s="10" t="str">
        <f aca="false">'템플릿 문항'!E74</f>
        <v>{지자체} 달빛어린이병원이 있나요?</v>
      </c>
      <c r="C75" s="10" t="str">
        <f aca="false">'템플릿 문항'!H74</f>
        <v>고</v>
      </c>
      <c r="D75" s="20"/>
      <c r="E75" s="20"/>
      <c r="F75" s="21"/>
      <c r="G75" s="21"/>
      <c r="H75" s="21"/>
      <c r="I75" s="21" t="n">
        <v>5</v>
      </c>
      <c r="J75" s="20"/>
      <c r="K75" s="10" t="str">
        <f aca="false">IF(OR(D75="",E75=""),"",IF(AND(D75="적합",E75="적합"),"통과","미달"))</f>
        <v/>
      </c>
      <c r="L75" s="10" t="str">
        <f aca="false">IF(F75="","",IF(F75&gt;='검증 기준'!$B$5,"통과","미달"))</f>
        <v/>
      </c>
      <c r="M75" s="10" t="str">
        <f aca="false">IF(G75="","",IF(G75&lt;='검증 기준'!$B$6,"통과","불안정"))</f>
        <v/>
      </c>
      <c r="N75" s="10" t="str">
        <f aca="false">IF(OR(H75="",I75=""),"",IF(OR(AND(H75&gt;='검증 기준'!$B$7,H75&lt;=I75-'검증 기준'!$B$8),C75="고"),"통과","예비"))</f>
        <v/>
      </c>
      <c r="O75" s="10" t="str">
        <f aca="false">IF(J75="예","공급 공백",IF(OR(K75="",L75="",M75="",N75=""),"",IF(AND(K75="통과",L75="통과",N75="통과"),IF(M75="통과","패널","패널(불안정)"),IF(N75="예비","예비","제외"))))</f>
        <v/>
      </c>
    </row>
    <row r="76" customFormat="false" ht="15" hidden="false" customHeight="false" outlineLevel="0" collapsed="false">
      <c r="A76" s="10" t="str">
        <f aca="false">'템플릿 문항'!A75</f>
        <v>Q072</v>
      </c>
      <c r="B76" s="10" t="str">
        <f aca="false">'템플릿 문항'!E75</f>
        <v>{지자체} 휴일 당번약국 어디서 확인하나요?</v>
      </c>
      <c r="C76" s="10" t="str">
        <f aca="false">'템플릿 문항'!H75</f>
        <v>고</v>
      </c>
      <c r="D76" s="20"/>
      <c r="E76" s="20"/>
      <c r="F76" s="21"/>
      <c r="G76" s="21"/>
      <c r="H76" s="21"/>
      <c r="I76" s="21" t="n">
        <v>5</v>
      </c>
      <c r="J76" s="20"/>
      <c r="K76" s="10" t="str">
        <f aca="false">IF(OR(D76="",E76=""),"",IF(AND(D76="적합",E76="적합"),"통과","미달"))</f>
        <v/>
      </c>
      <c r="L76" s="10" t="str">
        <f aca="false">IF(F76="","",IF(F76&gt;='검증 기준'!$B$5,"통과","미달"))</f>
        <v/>
      </c>
      <c r="M76" s="10" t="str">
        <f aca="false">IF(G76="","",IF(G76&lt;='검증 기준'!$B$6,"통과","불안정"))</f>
        <v/>
      </c>
      <c r="N76" s="10" t="str">
        <f aca="false">IF(OR(H76="",I76=""),"",IF(OR(AND(H76&gt;='검증 기준'!$B$7,H76&lt;=I76-'검증 기준'!$B$8),C76="고"),"통과","예비"))</f>
        <v/>
      </c>
      <c r="O76" s="10" t="str">
        <f aca="false">IF(J76="예","공급 공백",IF(OR(K76="",L76="",M76="",N76=""),"",IF(AND(K76="통과",L76="통과",N76="통과"),IF(M76="통과","패널","패널(불안정)"),IF(N76="예비","예비","제외"))))</f>
        <v/>
      </c>
    </row>
    <row r="77" customFormat="false" ht="15" hidden="false" customHeight="false" outlineLevel="0" collapsed="false">
      <c r="A77" s="10" t="str">
        <f aca="false">'템플릿 문항'!A76</f>
        <v>Q073</v>
      </c>
      <c r="B77" s="10" t="str">
        <f aca="false">'템플릿 문항'!E76</f>
        <v>{지자체} {수당} 신청은 어디서 하나요?</v>
      </c>
      <c r="C77" s="10" t="str">
        <f aca="false">'템플릿 문항'!H76</f>
        <v>고</v>
      </c>
      <c r="D77" s="20"/>
      <c r="E77" s="20"/>
      <c r="F77" s="21"/>
      <c r="G77" s="21"/>
      <c r="H77" s="21"/>
      <c r="I77" s="21" t="n">
        <v>5</v>
      </c>
      <c r="J77" s="20"/>
      <c r="K77" s="10" t="str">
        <f aca="false">IF(OR(D77="",E77=""),"",IF(AND(D77="적합",E77="적합"),"통과","미달"))</f>
        <v/>
      </c>
      <c r="L77" s="10" t="str">
        <f aca="false">IF(F77="","",IF(F77&gt;='검증 기준'!$B$5,"통과","미달"))</f>
        <v/>
      </c>
      <c r="M77" s="10" t="str">
        <f aca="false">IF(G77="","",IF(G77&lt;='검증 기준'!$B$6,"통과","불안정"))</f>
        <v/>
      </c>
      <c r="N77" s="10" t="str">
        <f aca="false">IF(OR(H77="",I77=""),"",IF(OR(AND(H77&gt;='검증 기준'!$B$7,H77&lt;=I77-'검증 기준'!$B$8),C77="고"),"통과","예비"))</f>
        <v/>
      </c>
      <c r="O77" s="10" t="str">
        <f aca="false">IF(J77="예","공급 공백",IF(OR(K77="",L77="",M77="",N77=""),"",IF(AND(K77="통과",L77="통과",N77="통과"),IF(M77="통과","패널","패널(불안정)"),IF(N77="예비","예비","제외"))))</f>
        <v/>
      </c>
    </row>
    <row r="78" customFormat="false" ht="15" hidden="false" customHeight="false" outlineLevel="0" collapsed="false">
      <c r="A78" s="10" t="str">
        <f aca="false">'템플릿 문항'!A77</f>
        <v>Q074</v>
      </c>
      <c r="B78" s="10" t="str">
        <f aca="false">'템플릿 문항'!E77</f>
        <v>{지자체} {수당} 신청 서류가 뭔가요?</v>
      </c>
      <c r="C78" s="10" t="str">
        <f aca="false">'템플릿 문항'!H77</f>
        <v>고</v>
      </c>
      <c r="D78" s="20"/>
      <c r="E78" s="20"/>
      <c r="F78" s="21"/>
      <c r="G78" s="21"/>
      <c r="H78" s="21"/>
      <c r="I78" s="21" t="n">
        <v>5</v>
      </c>
      <c r="J78" s="20"/>
      <c r="K78" s="10" t="str">
        <f aca="false">IF(OR(D78="",E78=""),"",IF(AND(D78="적합",E78="적합"),"통과","미달"))</f>
        <v/>
      </c>
      <c r="L78" s="10" t="str">
        <f aca="false">IF(F78="","",IF(F78&gt;='검증 기준'!$B$5,"통과","미달"))</f>
        <v/>
      </c>
      <c r="M78" s="10" t="str">
        <f aca="false">IF(G78="","",IF(G78&lt;='검증 기준'!$B$6,"통과","불안정"))</f>
        <v/>
      </c>
      <c r="N78" s="10" t="str">
        <f aca="false">IF(OR(H78="",I78=""),"",IF(OR(AND(H78&gt;='검증 기준'!$B$7,H78&lt;=I78-'검증 기준'!$B$8),C78="고"),"통과","예비"))</f>
        <v/>
      </c>
      <c r="O78" s="10" t="str">
        <f aca="false">IF(J78="예","공급 공백",IF(OR(K78="",L78="",M78="",N78=""),"",IF(AND(K78="통과",L78="통과",N78="통과"),IF(M78="통과","패널","패널(불안정)"),IF(N78="예비","예비","제외"))))</f>
        <v/>
      </c>
    </row>
    <row r="79" customFormat="false" ht="15" hidden="false" customHeight="false" outlineLevel="0" collapsed="false">
      <c r="A79" s="10" t="str">
        <f aca="false">'템플릿 문항'!A78</f>
        <v>Q075</v>
      </c>
      <c r="B79" s="10" t="str">
        <f aca="false">'템플릿 문항'!E78</f>
        <v>{지자체} 기초연금 담당 부서 전화번호가 뭔가요?</v>
      </c>
      <c r="C79" s="10" t="str">
        <f aca="false">'템플릿 문항'!H78</f>
        <v>고</v>
      </c>
      <c r="D79" s="20"/>
      <c r="E79" s="20"/>
      <c r="F79" s="21"/>
      <c r="G79" s="21"/>
      <c r="H79" s="21"/>
      <c r="I79" s="21" t="n">
        <v>5</v>
      </c>
      <c r="J79" s="20"/>
      <c r="K79" s="10" t="str">
        <f aca="false">IF(OR(D79="",E79=""),"",IF(AND(D79="적합",E79="적합"),"통과","미달"))</f>
        <v/>
      </c>
      <c r="L79" s="10" t="str">
        <f aca="false">IF(F79="","",IF(F79&gt;='검증 기준'!$B$5,"통과","미달"))</f>
        <v/>
      </c>
      <c r="M79" s="10" t="str">
        <f aca="false">IF(G79="","",IF(G79&lt;='검증 기준'!$B$6,"통과","불안정"))</f>
        <v/>
      </c>
      <c r="N79" s="10" t="str">
        <f aca="false">IF(OR(H79="",I79=""),"",IF(OR(AND(H79&gt;='검증 기준'!$B$7,H79&lt;=I79-'검증 기준'!$B$8),C79="고"),"통과","예비"))</f>
        <v/>
      </c>
      <c r="O79" s="10" t="str">
        <f aca="false">IF(J79="예","공급 공백",IF(OR(K79="",L79="",M79="",N79=""),"",IF(AND(K79="통과",L79="통과",N79="통과"),IF(M79="통과","패널","패널(불안정)"),IF(N79="예비","예비","제외"))))</f>
        <v/>
      </c>
    </row>
    <row r="80" customFormat="false" ht="15" hidden="false" customHeight="false" outlineLevel="0" collapsed="false">
      <c r="A80" s="10" t="str">
        <f aca="false">'템플릿 문항'!A79</f>
        <v>Q076</v>
      </c>
      <c r="B80" s="10" t="str">
        <f aca="false">'템플릿 문항'!E79</f>
        <v>{지자체} 출산지원금은 얼마인가요?</v>
      </c>
      <c r="C80" s="10" t="str">
        <f aca="false">'템플릿 문항'!H79</f>
        <v>고</v>
      </c>
      <c r="D80" s="20"/>
      <c r="E80" s="20"/>
      <c r="F80" s="21"/>
      <c r="G80" s="21"/>
      <c r="H80" s="21"/>
      <c r="I80" s="21" t="n">
        <v>5</v>
      </c>
      <c r="J80" s="20"/>
      <c r="K80" s="10" t="str">
        <f aca="false">IF(OR(D80="",E80=""),"",IF(AND(D80="적합",E80="적합"),"통과","미달"))</f>
        <v/>
      </c>
      <c r="L80" s="10" t="str">
        <f aca="false">IF(F80="","",IF(F80&gt;='검증 기준'!$B$5,"통과","미달"))</f>
        <v/>
      </c>
      <c r="M80" s="10" t="str">
        <f aca="false">IF(G80="","",IF(G80&lt;='검증 기준'!$B$6,"통과","불안정"))</f>
        <v/>
      </c>
      <c r="N80" s="10" t="str">
        <f aca="false">IF(OR(H80="",I80=""),"",IF(OR(AND(H80&gt;='검증 기준'!$B$7,H80&lt;=I80-'검증 기준'!$B$8),C80="고"),"통과","예비"))</f>
        <v/>
      </c>
      <c r="O80" s="10" t="str">
        <f aca="false">IF(J80="예","공급 공백",IF(OR(K80="",L80="",M80="",N80=""),"",IF(AND(K80="통과",L80="통과",N80="통과"),IF(M80="통과","패널","패널(불안정)"),IF(N80="예비","예비","제외"))))</f>
        <v/>
      </c>
    </row>
    <row r="81" customFormat="false" ht="15" hidden="false" customHeight="false" outlineLevel="0" collapsed="false">
      <c r="A81" s="10" t="str">
        <f aca="false">'템플릿 문항'!A80</f>
        <v>Q077</v>
      </c>
      <c r="B81" s="10" t="str">
        <f aca="false">'템플릿 문항'!E80</f>
        <v>{지자체} 출산지원금 신청 기한이 언제까지인가요?</v>
      </c>
      <c r="C81" s="10" t="str">
        <f aca="false">'템플릿 문항'!H80</f>
        <v>고</v>
      </c>
      <c r="D81" s="20"/>
      <c r="E81" s="20"/>
      <c r="F81" s="21"/>
      <c r="G81" s="21"/>
      <c r="H81" s="21"/>
      <c r="I81" s="21" t="n">
        <v>5</v>
      </c>
      <c r="J81" s="20"/>
      <c r="K81" s="10" t="str">
        <f aca="false">IF(OR(D81="",E81=""),"",IF(AND(D81="적합",E81="적합"),"통과","미달"))</f>
        <v/>
      </c>
      <c r="L81" s="10" t="str">
        <f aca="false">IF(F81="","",IF(F81&gt;='검증 기준'!$B$5,"통과","미달"))</f>
        <v/>
      </c>
      <c r="M81" s="10" t="str">
        <f aca="false">IF(G81="","",IF(G81&lt;='검증 기준'!$B$6,"통과","불안정"))</f>
        <v/>
      </c>
      <c r="N81" s="10" t="str">
        <f aca="false">IF(OR(H81="",I81=""),"",IF(OR(AND(H81&gt;='검증 기준'!$B$7,H81&lt;=I81-'검증 기준'!$B$8),C81="고"),"통과","예비"))</f>
        <v/>
      </c>
      <c r="O81" s="10" t="str">
        <f aca="false">IF(J81="예","공급 공백",IF(OR(K81="",L81="",M81="",N81=""),"",IF(AND(K81="통과",L81="통과",N81="통과"),IF(M81="통과","패널","패널(불안정)"),IF(N81="예비","예비","제외"))))</f>
        <v/>
      </c>
    </row>
    <row r="82" customFormat="false" ht="15" hidden="false" customHeight="false" outlineLevel="0" collapsed="false">
      <c r="A82" s="10" t="str">
        <f aca="false">'템플릿 문항'!A81</f>
        <v>Q078</v>
      </c>
      <c r="B82" s="10" t="str">
        <f aca="false">'템플릿 문항'!E81</f>
        <v>{지자체} 긴급복지 지원은 어떻게 신청하나요?</v>
      </c>
      <c r="C82" s="10" t="str">
        <f aca="false">'템플릿 문항'!H81</f>
        <v>고</v>
      </c>
      <c r="D82" s="20"/>
      <c r="E82" s="20"/>
      <c r="F82" s="21"/>
      <c r="G82" s="21"/>
      <c r="H82" s="21"/>
      <c r="I82" s="21" t="n">
        <v>5</v>
      </c>
      <c r="J82" s="20"/>
      <c r="K82" s="10" t="str">
        <f aca="false">IF(OR(D82="",E82=""),"",IF(AND(D82="적합",E82="적합"),"통과","미달"))</f>
        <v/>
      </c>
      <c r="L82" s="10" t="str">
        <f aca="false">IF(F82="","",IF(F82&gt;='검증 기준'!$B$5,"통과","미달"))</f>
        <v/>
      </c>
      <c r="M82" s="10" t="str">
        <f aca="false">IF(G82="","",IF(G82&lt;='검증 기준'!$B$6,"통과","불안정"))</f>
        <v/>
      </c>
      <c r="N82" s="10" t="str">
        <f aca="false">IF(OR(H82="",I82=""),"",IF(OR(AND(H82&gt;='검증 기준'!$B$7,H82&lt;=I82-'검증 기준'!$B$8),C82="고"),"통과","예비"))</f>
        <v/>
      </c>
      <c r="O82" s="10" t="str">
        <f aca="false">IF(J82="예","공급 공백",IF(OR(K82="",L82="",M82="",N82=""),"",IF(AND(K82="통과",L82="통과",N82="통과"),IF(M82="통과","패널","패널(불안정)"),IF(N82="예비","예비","제외"))))</f>
        <v/>
      </c>
    </row>
    <row r="83" customFormat="false" ht="15" hidden="false" customHeight="false" outlineLevel="0" collapsed="false">
      <c r="A83" s="10" t="str">
        <f aca="false">'템플릿 문항'!A82</f>
        <v>Q079</v>
      </c>
      <c r="B83" s="10" t="str">
        <f aca="false">'템플릿 문항'!E82</f>
        <v>{지자체} 긴급복지 지원 대상이 누구인가요?</v>
      </c>
      <c r="C83" s="10" t="str">
        <f aca="false">'템플릿 문항'!H82</f>
        <v>고</v>
      </c>
      <c r="D83" s="20"/>
      <c r="E83" s="20"/>
      <c r="F83" s="21"/>
      <c r="G83" s="21"/>
      <c r="H83" s="21"/>
      <c r="I83" s="21" t="n">
        <v>5</v>
      </c>
      <c r="J83" s="20"/>
      <c r="K83" s="10" t="str">
        <f aca="false">IF(OR(D83="",E83=""),"",IF(AND(D83="적합",E83="적합"),"통과","미달"))</f>
        <v/>
      </c>
      <c r="L83" s="10" t="str">
        <f aca="false">IF(F83="","",IF(F83&gt;='검증 기준'!$B$5,"통과","미달"))</f>
        <v/>
      </c>
      <c r="M83" s="10" t="str">
        <f aca="false">IF(G83="","",IF(G83&lt;='검증 기준'!$B$6,"통과","불안정"))</f>
        <v/>
      </c>
      <c r="N83" s="10" t="str">
        <f aca="false">IF(OR(H83="",I83=""),"",IF(OR(AND(H83&gt;='검증 기준'!$B$7,H83&lt;=I83-'검증 기준'!$B$8),C83="고"),"통과","예비"))</f>
        <v/>
      </c>
      <c r="O83" s="10" t="str">
        <f aca="false">IF(J83="예","공급 공백",IF(OR(K83="",L83="",M83="",N83=""),"",IF(AND(K83="통과",L83="통과",N83="통과"),IF(M83="통과","패널","패널(불안정)"),IF(N83="예비","예비","제외"))))</f>
        <v/>
      </c>
    </row>
    <row r="84" customFormat="false" ht="15" hidden="false" customHeight="false" outlineLevel="0" collapsed="false">
      <c r="A84" s="10" t="str">
        <f aca="false">'템플릿 문항'!A83</f>
        <v>Q080</v>
      </c>
      <c r="B84" s="10" t="str">
        <f aca="false">'템플릿 문항'!E83</f>
        <v>{지자체} 긴급복지 상담 전화번호 알려주세요</v>
      </c>
      <c r="C84" s="10" t="str">
        <f aca="false">'템플릿 문항'!H83</f>
        <v>고</v>
      </c>
      <c r="D84" s="20"/>
      <c r="E84" s="20"/>
      <c r="F84" s="21"/>
      <c r="G84" s="21"/>
      <c r="H84" s="21"/>
      <c r="I84" s="21" t="n">
        <v>5</v>
      </c>
      <c r="J84" s="20"/>
      <c r="K84" s="10" t="str">
        <f aca="false">IF(OR(D84="",E84=""),"",IF(AND(D84="적합",E84="적합"),"통과","미달"))</f>
        <v/>
      </c>
      <c r="L84" s="10" t="str">
        <f aca="false">IF(F84="","",IF(F84&gt;='검증 기준'!$B$5,"통과","미달"))</f>
        <v/>
      </c>
      <c r="M84" s="10" t="str">
        <f aca="false">IF(G84="","",IF(G84&lt;='검증 기준'!$B$6,"통과","불안정"))</f>
        <v/>
      </c>
      <c r="N84" s="10" t="str">
        <f aca="false">IF(OR(H84="",I84=""),"",IF(OR(AND(H84&gt;='검증 기준'!$B$7,H84&lt;=I84-'검증 기준'!$B$8),C84="고"),"통과","예비"))</f>
        <v/>
      </c>
      <c r="O84" s="10" t="str">
        <f aca="false">IF(J84="예","공급 공백",IF(OR(K84="",L84="",M84="",N84=""),"",IF(AND(K84="통과",L84="통과",N84="통과"),IF(M84="통과","패널","패널(불안정)"),IF(N84="예비","예비","제외"))))</f>
        <v/>
      </c>
    </row>
    <row r="85" customFormat="false" ht="15" hidden="false" customHeight="false" outlineLevel="0" collapsed="false">
      <c r="A85" s="10" t="str">
        <f aca="false">'템플릿 문항'!A84</f>
        <v>Q081</v>
      </c>
      <c r="B85" s="10" t="str">
        <f aca="false">'템플릿 문항'!E84</f>
        <v>{지자체} 위기가구 신고는 어디에 하나요?</v>
      </c>
      <c r="C85" s="10" t="str">
        <f aca="false">'템플릿 문항'!H84</f>
        <v>고</v>
      </c>
      <c r="D85" s="20"/>
      <c r="E85" s="20"/>
      <c r="F85" s="21"/>
      <c r="G85" s="21"/>
      <c r="H85" s="21"/>
      <c r="I85" s="21" t="n">
        <v>5</v>
      </c>
      <c r="J85" s="20"/>
      <c r="K85" s="10" t="str">
        <f aca="false">IF(OR(D85="",E85=""),"",IF(AND(D85="적합",E85="적합"),"통과","미달"))</f>
        <v/>
      </c>
      <c r="L85" s="10" t="str">
        <f aca="false">IF(F85="","",IF(F85&gt;='검증 기준'!$B$5,"통과","미달"))</f>
        <v/>
      </c>
      <c r="M85" s="10" t="str">
        <f aca="false">IF(G85="","",IF(G85&lt;='검증 기준'!$B$6,"통과","불안정"))</f>
        <v/>
      </c>
      <c r="N85" s="10" t="str">
        <f aca="false">IF(OR(H85="",I85=""),"",IF(OR(AND(H85&gt;='검증 기준'!$B$7,H85&lt;=I85-'검증 기준'!$B$8),C85="고"),"통과","예비"))</f>
        <v/>
      </c>
      <c r="O85" s="10" t="str">
        <f aca="false">IF(J85="예","공급 공백",IF(OR(K85="",L85="",M85="",N85=""),"",IF(AND(K85="통과",L85="통과",N85="통과"),IF(M85="통과","패널","패널(불안정)"),IF(N85="예비","예비","제외"))))</f>
        <v/>
      </c>
    </row>
    <row r="86" customFormat="false" ht="15" hidden="false" customHeight="false" outlineLevel="0" collapsed="false">
      <c r="A86" s="10" t="str">
        <f aca="false">'템플릿 문항'!A85</f>
        <v>Q082</v>
      </c>
      <c r="B86" s="10" t="str">
        <f aca="false">'템플릿 문항'!E85</f>
        <v>{지자체} 노인 일자리 사업 신청은 언제 하나요?</v>
      </c>
      <c r="C86" s="10" t="str">
        <f aca="false">'템플릿 문항'!H85</f>
        <v>중</v>
      </c>
      <c r="D86" s="20"/>
      <c r="E86" s="20"/>
      <c r="F86" s="21"/>
      <c r="G86" s="21"/>
      <c r="H86" s="21"/>
      <c r="I86" s="21" t="n">
        <v>5</v>
      </c>
      <c r="J86" s="20"/>
      <c r="K86" s="10" t="str">
        <f aca="false">IF(OR(D86="",E86=""),"",IF(AND(D86="적합",E86="적합"),"통과","미달"))</f>
        <v/>
      </c>
      <c r="L86" s="10" t="str">
        <f aca="false">IF(F86="","",IF(F86&gt;='검증 기준'!$B$5,"통과","미달"))</f>
        <v/>
      </c>
      <c r="M86" s="10" t="str">
        <f aca="false">IF(G86="","",IF(G86&lt;='검증 기준'!$B$6,"통과","불안정"))</f>
        <v/>
      </c>
      <c r="N86" s="10" t="str">
        <f aca="false">IF(OR(H86="",I86=""),"",IF(OR(AND(H86&gt;='검증 기준'!$B$7,H86&lt;=I86-'검증 기준'!$B$8),C86="고"),"통과","예비"))</f>
        <v/>
      </c>
      <c r="O86" s="10" t="str">
        <f aca="false">IF(J86="예","공급 공백",IF(OR(K86="",L86="",M86="",N86=""),"",IF(AND(K86="통과",L86="통과",N86="통과"),IF(M86="통과","패널","패널(불안정)"),IF(N86="예비","예비","제외"))))</f>
        <v/>
      </c>
    </row>
    <row r="87" customFormat="false" ht="15" hidden="false" customHeight="false" outlineLevel="0" collapsed="false">
      <c r="A87" s="10" t="str">
        <f aca="false">'템플릿 문항'!A86</f>
        <v>Q083</v>
      </c>
      <c r="B87" s="10" t="str">
        <f aca="false">'템플릿 문항'!E86</f>
        <v>{지자체} 노인 일자리 신청 자격이 뭔가요?</v>
      </c>
      <c r="C87" s="10" t="str">
        <f aca="false">'템플릿 문항'!H86</f>
        <v>중</v>
      </c>
      <c r="D87" s="20"/>
      <c r="E87" s="20"/>
      <c r="F87" s="21"/>
      <c r="G87" s="21"/>
      <c r="H87" s="21"/>
      <c r="I87" s="21" t="n">
        <v>5</v>
      </c>
      <c r="J87" s="20"/>
      <c r="K87" s="10" t="str">
        <f aca="false">IF(OR(D87="",E87=""),"",IF(AND(D87="적합",E87="적합"),"통과","미달"))</f>
        <v/>
      </c>
      <c r="L87" s="10" t="str">
        <f aca="false">IF(F87="","",IF(F87&gt;='검증 기준'!$B$5,"통과","미달"))</f>
        <v/>
      </c>
      <c r="M87" s="10" t="str">
        <f aca="false">IF(G87="","",IF(G87&lt;='검증 기준'!$B$6,"통과","불안정"))</f>
        <v/>
      </c>
      <c r="N87" s="10" t="str">
        <f aca="false">IF(OR(H87="",I87=""),"",IF(OR(AND(H87&gt;='검증 기준'!$B$7,H87&lt;=I87-'검증 기준'!$B$8),C87="고"),"통과","예비"))</f>
        <v/>
      </c>
      <c r="O87" s="10" t="str">
        <f aca="false">IF(J87="예","공급 공백",IF(OR(K87="",L87="",M87="",N87=""),"",IF(AND(K87="통과",L87="통과",N87="통과"),IF(M87="통과","패널","패널(불안정)"),IF(N87="예비","예비","제외"))))</f>
        <v/>
      </c>
    </row>
    <row r="88" customFormat="false" ht="15" hidden="false" customHeight="false" outlineLevel="0" collapsed="false">
      <c r="A88" s="10" t="str">
        <f aca="false">'템플릿 문항'!A87</f>
        <v>Q084</v>
      </c>
      <c r="B88" s="10" t="str">
        <f aca="false">'템플릿 문항'!E87</f>
        <v>{지자체} 경로당 등록은 어떻게 하나요?</v>
      </c>
      <c r="C88" s="10" t="str">
        <f aca="false">'템플릿 문항'!H87</f>
        <v>저</v>
      </c>
      <c r="D88" s="20"/>
      <c r="E88" s="20"/>
      <c r="F88" s="21"/>
      <c r="G88" s="21"/>
      <c r="H88" s="21"/>
      <c r="I88" s="21" t="n">
        <v>5</v>
      </c>
      <c r="J88" s="20"/>
      <c r="K88" s="10" t="str">
        <f aca="false">IF(OR(D88="",E88=""),"",IF(AND(D88="적합",E88="적합"),"통과","미달"))</f>
        <v/>
      </c>
      <c r="L88" s="10" t="str">
        <f aca="false">IF(F88="","",IF(F88&gt;='검증 기준'!$B$5,"통과","미달"))</f>
        <v/>
      </c>
      <c r="M88" s="10" t="str">
        <f aca="false">IF(G88="","",IF(G88&lt;='검증 기준'!$B$6,"통과","불안정"))</f>
        <v/>
      </c>
      <c r="N88" s="10" t="str">
        <f aca="false">IF(OR(H88="",I88=""),"",IF(OR(AND(H88&gt;='검증 기준'!$B$7,H88&lt;=I88-'검증 기준'!$B$8),C88="고"),"통과","예비"))</f>
        <v/>
      </c>
      <c r="O88" s="10" t="str">
        <f aca="false">IF(J88="예","공급 공백",IF(OR(K88="",L88="",M88="",N88=""),"",IF(AND(K88="통과",L88="통과",N88="통과"),IF(M88="통과","패널","패널(불안정)"),IF(N88="예비","예비","제외"))))</f>
        <v/>
      </c>
    </row>
    <row r="89" customFormat="false" ht="15" hidden="false" customHeight="false" outlineLevel="0" collapsed="false">
      <c r="A89" s="10" t="str">
        <f aca="false">'템플릿 문항'!A88</f>
        <v>Q085</v>
      </c>
      <c r="B89" s="10" t="str">
        <f aca="false">'템플릿 문항'!E88</f>
        <v>{지자체} 노인복지관 위치와 전화번호 알려주세요</v>
      </c>
      <c r="C89" s="10" t="str">
        <f aca="false">'템플릿 문항'!H88</f>
        <v>중</v>
      </c>
      <c r="D89" s="20"/>
      <c r="E89" s="20"/>
      <c r="F89" s="21"/>
      <c r="G89" s="21"/>
      <c r="H89" s="21"/>
      <c r="I89" s="21" t="n">
        <v>5</v>
      </c>
      <c r="J89" s="20"/>
      <c r="K89" s="10" t="str">
        <f aca="false">IF(OR(D89="",E89=""),"",IF(AND(D89="적합",E89="적합"),"통과","미달"))</f>
        <v/>
      </c>
      <c r="L89" s="10" t="str">
        <f aca="false">IF(F89="","",IF(F89&gt;='검증 기준'!$B$5,"통과","미달"))</f>
        <v/>
      </c>
      <c r="M89" s="10" t="str">
        <f aca="false">IF(G89="","",IF(G89&lt;='검증 기준'!$B$6,"통과","불안정"))</f>
        <v/>
      </c>
      <c r="N89" s="10" t="str">
        <f aca="false">IF(OR(H89="",I89=""),"",IF(OR(AND(H89&gt;='검증 기준'!$B$7,H89&lt;=I89-'검증 기준'!$B$8),C89="고"),"통과","예비"))</f>
        <v/>
      </c>
      <c r="O89" s="10" t="str">
        <f aca="false">IF(J89="예","공급 공백",IF(OR(K89="",L89="",M89="",N89=""),"",IF(AND(K89="통과",L89="통과",N89="통과"),IF(M89="통과","패널","패널(불안정)"),IF(N89="예비","예비","제외"))))</f>
        <v/>
      </c>
    </row>
    <row r="90" customFormat="false" ht="15" hidden="false" customHeight="false" outlineLevel="0" collapsed="false">
      <c r="A90" s="10" t="str">
        <f aca="false">'템플릿 문항'!A89</f>
        <v>Q086</v>
      </c>
      <c r="B90" s="10" t="str">
        <f aca="false">'템플릿 문항'!E89</f>
        <v>{지자체} 장애인 활동지원 신청은 어디서 하나요?</v>
      </c>
      <c r="C90" s="10" t="str">
        <f aca="false">'템플릿 문항'!H89</f>
        <v>고</v>
      </c>
      <c r="D90" s="20"/>
      <c r="E90" s="20"/>
      <c r="F90" s="21"/>
      <c r="G90" s="21"/>
      <c r="H90" s="21"/>
      <c r="I90" s="21" t="n">
        <v>5</v>
      </c>
      <c r="J90" s="20"/>
      <c r="K90" s="10" t="str">
        <f aca="false">IF(OR(D90="",E90=""),"",IF(AND(D90="적합",E90="적합"),"통과","미달"))</f>
        <v/>
      </c>
      <c r="L90" s="10" t="str">
        <f aca="false">IF(F90="","",IF(F90&gt;='검증 기준'!$B$5,"통과","미달"))</f>
        <v/>
      </c>
      <c r="M90" s="10" t="str">
        <f aca="false">IF(G90="","",IF(G90&lt;='검증 기준'!$B$6,"통과","불안정"))</f>
        <v/>
      </c>
      <c r="N90" s="10" t="str">
        <f aca="false">IF(OR(H90="",I90=""),"",IF(OR(AND(H90&gt;='검증 기준'!$B$7,H90&lt;=I90-'검증 기준'!$B$8),C90="고"),"통과","예비"))</f>
        <v/>
      </c>
      <c r="O90" s="10" t="str">
        <f aca="false">IF(J90="예","공급 공백",IF(OR(K90="",L90="",M90="",N90=""),"",IF(AND(K90="통과",L90="통과",N90="통과"),IF(M90="통과","패널","패널(불안정)"),IF(N90="예비","예비","제외"))))</f>
        <v/>
      </c>
    </row>
    <row r="91" customFormat="false" ht="15" hidden="false" customHeight="false" outlineLevel="0" collapsed="false">
      <c r="A91" s="10" t="str">
        <f aca="false">'템플릿 문항'!A90</f>
        <v>Q087</v>
      </c>
      <c r="B91" s="10" t="str">
        <f aca="false">'템플릿 문항'!E90</f>
        <v>{지자체} 장애인 콜택시 이용 방법이 뭔가요?</v>
      </c>
      <c r="C91" s="10" t="str">
        <f aca="false">'템플릿 문항'!H90</f>
        <v>고</v>
      </c>
      <c r="D91" s="20"/>
      <c r="E91" s="20"/>
      <c r="F91" s="21"/>
      <c r="G91" s="21"/>
      <c r="H91" s="21"/>
      <c r="I91" s="21" t="n">
        <v>5</v>
      </c>
      <c r="J91" s="20"/>
      <c r="K91" s="10" t="str">
        <f aca="false">IF(OR(D91="",E91=""),"",IF(AND(D91="적합",E91="적합"),"통과","미달"))</f>
        <v/>
      </c>
      <c r="L91" s="10" t="str">
        <f aca="false">IF(F91="","",IF(F91&gt;='검증 기준'!$B$5,"통과","미달"))</f>
        <v/>
      </c>
      <c r="M91" s="10" t="str">
        <f aca="false">IF(G91="","",IF(G91&lt;='검증 기준'!$B$6,"통과","불안정"))</f>
        <v/>
      </c>
      <c r="N91" s="10" t="str">
        <f aca="false">IF(OR(H91="",I91=""),"",IF(OR(AND(H91&gt;='검증 기준'!$B$7,H91&lt;=I91-'검증 기준'!$B$8),C91="고"),"통과","예비"))</f>
        <v/>
      </c>
      <c r="O91" s="10" t="str">
        <f aca="false">IF(J91="예","공급 공백",IF(OR(K91="",L91="",M91="",N91=""),"",IF(AND(K91="통과",L91="통과",N91="통과"),IF(M91="통과","패널","패널(불안정)"),IF(N91="예비","예비","제외"))))</f>
        <v/>
      </c>
    </row>
    <row r="92" customFormat="false" ht="15" hidden="false" customHeight="false" outlineLevel="0" collapsed="false">
      <c r="A92" s="10" t="str">
        <f aca="false">'템플릿 문항'!A91</f>
        <v>Q088</v>
      </c>
      <c r="B92" s="10" t="str">
        <f aca="false">'템플릿 문항'!E91</f>
        <v>{지자체} 장애인 콜택시 예약 전화번호가 뭔가요?</v>
      </c>
      <c r="C92" s="10" t="str">
        <f aca="false">'템플릿 문항'!H91</f>
        <v>고</v>
      </c>
      <c r="D92" s="20"/>
      <c r="E92" s="20"/>
      <c r="F92" s="21"/>
      <c r="G92" s="21"/>
      <c r="H92" s="21"/>
      <c r="I92" s="21" t="n">
        <v>5</v>
      </c>
      <c r="J92" s="20"/>
      <c r="K92" s="10" t="str">
        <f aca="false">IF(OR(D92="",E92=""),"",IF(AND(D92="적합",E92="적합"),"통과","미달"))</f>
        <v/>
      </c>
      <c r="L92" s="10" t="str">
        <f aca="false">IF(F92="","",IF(F92&gt;='검증 기준'!$B$5,"통과","미달"))</f>
        <v/>
      </c>
      <c r="M92" s="10" t="str">
        <f aca="false">IF(G92="","",IF(G92&lt;='검증 기준'!$B$6,"통과","불안정"))</f>
        <v/>
      </c>
      <c r="N92" s="10" t="str">
        <f aca="false">IF(OR(H92="",I92=""),"",IF(OR(AND(H92&gt;='검증 기준'!$B$7,H92&lt;=I92-'검증 기준'!$B$8),C92="고"),"통과","예비"))</f>
        <v/>
      </c>
      <c r="O92" s="10" t="str">
        <f aca="false">IF(J92="예","공급 공백",IF(OR(K92="",L92="",M92="",N92=""),"",IF(AND(K92="통과",L92="통과",N92="통과"),IF(M92="통과","패널","패널(불안정)"),IF(N92="예비","예비","제외"))))</f>
        <v/>
      </c>
    </row>
    <row r="93" customFormat="false" ht="15" hidden="false" customHeight="false" outlineLevel="0" collapsed="false">
      <c r="A93" s="10" t="str">
        <f aca="false">'템플릿 문항'!A92</f>
        <v>Q089</v>
      </c>
      <c r="B93" s="10" t="str">
        <f aca="false">'템플릿 문항'!E92</f>
        <v>{지자체} 장애인 {지원} 지원 내용이 뭔가요?</v>
      </c>
      <c r="C93" s="10" t="str">
        <f aca="false">'템플릿 문항'!H92</f>
        <v>고</v>
      </c>
      <c r="D93" s="20"/>
      <c r="E93" s="20"/>
      <c r="F93" s="21"/>
      <c r="G93" s="21"/>
      <c r="H93" s="21"/>
      <c r="I93" s="21" t="n">
        <v>5</v>
      </c>
      <c r="J93" s="20"/>
      <c r="K93" s="10" t="str">
        <f aca="false">IF(OR(D93="",E93=""),"",IF(AND(D93="적합",E93="적합"),"통과","미달"))</f>
        <v/>
      </c>
      <c r="L93" s="10" t="str">
        <f aca="false">IF(F93="","",IF(F93&gt;='검증 기준'!$B$5,"통과","미달"))</f>
        <v/>
      </c>
      <c r="M93" s="10" t="str">
        <f aca="false">IF(G93="","",IF(G93&lt;='검증 기준'!$B$6,"통과","불안정"))</f>
        <v/>
      </c>
      <c r="N93" s="10" t="str">
        <f aca="false">IF(OR(H93="",I93=""),"",IF(OR(AND(H93&gt;='검증 기준'!$B$7,H93&lt;=I93-'검증 기준'!$B$8),C93="고"),"통과","예비"))</f>
        <v/>
      </c>
      <c r="O93" s="10" t="str">
        <f aca="false">IF(J93="예","공급 공백",IF(OR(K93="",L93="",M93="",N93=""),"",IF(AND(K93="통과",L93="통과",N93="통과"),IF(M93="통과","패널","패널(불안정)"),IF(N93="예비","예비","제외"))))</f>
        <v/>
      </c>
    </row>
    <row r="94" customFormat="false" ht="15" hidden="false" customHeight="false" outlineLevel="0" collapsed="false">
      <c r="A94" s="10" t="str">
        <f aca="false">'템플릿 문항'!A93</f>
        <v>Q090</v>
      </c>
      <c r="B94" s="10" t="str">
        <f aca="false">'템플릿 문항'!E93</f>
        <v>{지자체} {세목} 납부 기한이 언제인가요?</v>
      </c>
      <c r="C94" s="10" t="str">
        <f aca="false">'템플릿 문항'!H93</f>
        <v>고</v>
      </c>
      <c r="D94" s="20"/>
      <c r="E94" s="20"/>
      <c r="F94" s="21"/>
      <c r="G94" s="21"/>
      <c r="H94" s="21"/>
      <c r="I94" s="21" t="n">
        <v>5</v>
      </c>
      <c r="J94" s="20"/>
      <c r="K94" s="10" t="str">
        <f aca="false">IF(OR(D94="",E94=""),"",IF(AND(D94="적합",E94="적합"),"통과","미달"))</f>
        <v/>
      </c>
      <c r="L94" s="10" t="str">
        <f aca="false">IF(F94="","",IF(F94&gt;='검증 기준'!$B$5,"통과","미달"))</f>
        <v/>
      </c>
      <c r="M94" s="10" t="str">
        <f aca="false">IF(G94="","",IF(G94&lt;='검증 기준'!$B$6,"통과","불안정"))</f>
        <v/>
      </c>
      <c r="N94" s="10" t="str">
        <f aca="false">IF(OR(H94="",I94=""),"",IF(OR(AND(H94&gt;='검증 기준'!$B$7,H94&lt;=I94-'검증 기준'!$B$8),C94="고"),"통과","예비"))</f>
        <v/>
      </c>
      <c r="O94" s="10" t="str">
        <f aca="false">IF(J94="예","공급 공백",IF(OR(K94="",L94="",M94="",N94=""),"",IF(AND(K94="통과",L94="통과",N94="통과"),IF(M94="통과","패널","패널(불안정)"),IF(N94="예비","예비","제외"))))</f>
        <v/>
      </c>
    </row>
    <row r="95" customFormat="false" ht="15" hidden="false" customHeight="false" outlineLevel="0" collapsed="false">
      <c r="A95" s="10" t="str">
        <f aca="false">'템플릿 문항'!A94</f>
        <v>Q091</v>
      </c>
      <c r="B95" s="10" t="str">
        <f aca="false">'템플릿 문항'!E94</f>
        <v>{지자체} 지방세 납부 방법이 뭐가 있나요?</v>
      </c>
      <c r="C95" s="10" t="str">
        <f aca="false">'템플릿 문항'!H94</f>
        <v>중</v>
      </c>
      <c r="D95" s="20"/>
      <c r="E95" s="20"/>
      <c r="F95" s="21"/>
      <c r="G95" s="21"/>
      <c r="H95" s="21"/>
      <c r="I95" s="21" t="n">
        <v>5</v>
      </c>
      <c r="J95" s="20"/>
      <c r="K95" s="10" t="str">
        <f aca="false">IF(OR(D95="",E95=""),"",IF(AND(D95="적합",E95="적합"),"통과","미달"))</f>
        <v/>
      </c>
      <c r="L95" s="10" t="str">
        <f aca="false">IF(F95="","",IF(F95&gt;='검증 기준'!$B$5,"통과","미달"))</f>
        <v/>
      </c>
      <c r="M95" s="10" t="str">
        <f aca="false">IF(G95="","",IF(G95&lt;='검증 기준'!$B$6,"통과","불안정"))</f>
        <v/>
      </c>
      <c r="N95" s="10" t="str">
        <f aca="false">IF(OR(H95="",I95=""),"",IF(OR(AND(H95&gt;='검증 기준'!$B$7,H95&lt;=I95-'검증 기준'!$B$8),C95="고"),"통과","예비"))</f>
        <v/>
      </c>
      <c r="O95" s="10" t="str">
        <f aca="false">IF(J95="예","공급 공백",IF(OR(K95="",L95="",M95="",N95=""),"",IF(AND(K95="통과",L95="통과",N95="통과"),IF(M95="통과","패널","패널(불안정)"),IF(N95="예비","예비","제외"))))</f>
        <v/>
      </c>
    </row>
    <row r="96" customFormat="false" ht="15" hidden="false" customHeight="false" outlineLevel="0" collapsed="false">
      <c r="A96" s="10" t="str">
        <f aca="false">'템플릿 문항'!A95</f>
        <v>Q092</v>
      </c>
      <c r="B96" s="10" t="str">
        <f aca="false">'템플릿 문항'!E95</f>
        <v>{지자체} 자동차세 연납 신청은 언제까지인가요?</v>
      </c>
      <c r="C96" s="10" t="str">
        <f aca="false">'템플릿 문항'!H95</f>
        <v>고</v>
      </c>
      <c r="D96" s="20"/>
      <c r="E96" s="20"/>
      <c r="F96" s="21"/>
      <c r="G96" s="21"/>
      <c r="H96" s="21"/>
      <c r="I96" s="21" t="n">
        <v>5</v>
      </c>
      <c r="J96" s="20"/>
      <c r="K96" s="10" t="str">
        <f aca="false">IF(OR(D96="",E96=""),"",IF(AND(D96="적합",E96="적합"),"통과","미달"))</f>
        <v/>
      </c>
      <c r="L96" s="10" t="str">
        <f aca="false">IF(F96="","",IF(F96&gt;='검증 기준'!$B$5,"통과","미달"))</f>
        <v/>
      </c>
      <c r="M96" s="10" t="str">
        <f aca="false">IF(G96="","",IF(G96&lt;='검증 기준'!$B$6,"통과","불안정"))</f>
        <v/>
      </c>
      <c r="N96" s="10" t="str">
        <f aca="false">IF(OR(H96="",I96=""),"",IF(OR(AND(H96&gt;='검증 기준'!$B$7,H96&lt;=I96-'검증 기준'!$B$8),C96="고"),"통과","예비"))</f>
        <v/>
      </c>
      <c r="O96" s="10" t="str">
        <f aca="false">IF(J96="예","공급 공백",IF(OR(K96="",L96="",M96="",N96=""),"",IF(AND(K96="통과",L96="통과",N96="통과"),IF(M96="통과","패널","패널(불안정)"),IF(N96="예비","예비","제외"))))</f>
        <v/>
      </c>
    </row>
    <row r="97" customFormat="false" ht="15" hidden="false" customHeight="false" outlineLevel="0" collapsed="false">
      <c r="A97" s="10" t="str">
        <f aca="false">'템플릿 문항'!A96</f>
        <v>Q093</v>
      </c>
      <c r="B97" s="10" t="str">
        <f aca="false">'템플릿 문항'!E96</f>
        <v>{지자체} 재산세 분납 조건이 뭔가요?</v>
      </c>
      <c r="C97" s="10" t="str">
        <f aca="false">'템플릿 문항'!H96</f>
        <v>고</v>
      </c>
      <c r="D97" s="20"/>
      <c r="E97" s="20"/>
      <c r="F97" s="21"/>
      <c r="G97" s="21"/>
      <c r="H97" s="21"/>
      <c r="I97" s="21" t="n">
        <v>5</v>
      </c>
      <c r="J97" s="20"/>
      <c r="K97" s="10" t="str">
        <f aca="false">IF(OR(D97="",E97=""),"",IF(AND(D97="적합",E97="적합"),"통과","미달"))</f>
        <v/>
      </c>
      <c r="L97" s="10" t="str">
        <f aca="false">IF(F97="","",IF(F97&gt;='검증 기준'!$B$5,"통과","미달"))</f>
        <v/>
      </c>
      <c r="M97" s="10" t="str">
        <f aca="false">IF(G97="","",IF(G97&lt;='검증 기준'!$B$6,"통과","불안정"))</f>
        <v/>
      </c>
      <c r="N97" s="10" t="str">
        <f aca="false">IF(OR(H97="",I97=""),"",IF(OR(AND(H97&gt;='검증 기준'!$B$7,H97&lt;=I97-'검증 기준'!$B$8),C97="고"),"통과","예비"))</f>
        <v/>
      </c>
      <c r="O97" s="10" t="str">
        <f aca="false">IF(J97="예","공급 공백",IF(OR(K97="",L97="",M97="",N97=""),"",IF(AND(K97="통과",L97="통과",N97="통과"),IF(M97="통과","패널","패널(불안정)"),IF(N97="예비","예비","제외"))))</f>
        <v/>
      </c>
    </row>
    <row r="98" customFormat="false" ht="15" hidden="false" customHeight="false" outlineLevel="0" collapsed="false">
      <c r="A98" s="10" t="str">
        <f aca="false">'템플릿 문항'!A97</f>
        <v>Q094</v>
      </c>
      <c r="B98" s="10" t="str">
        <f aca="false">'템플릿 문항'!E97</f>
        <v>{지자체} 세무과 전화번호가 뭔가요?</v>
      </c>
      <c r="C98" s="10" t="str">
        <f aca="false">'템플릿 문항'!H97</f>
        <v>중</v>
      </c>
      <c r="D98" s="20"/>
      <c r="E98" s="20"/>
      <c r="F98" s="21"/>
      <c r="G98" s="21"/>
      <c r="H98" s="21"/>
      <c r="I98" s="21" t="n">
        <v>5</v>
      </c>
      <c r="J98" s="20"/>
      <c r="K98" s="10" t="str">
        <f aca="false">IF(OR(D98="",E98=""),"",IF(AND(D98="적합",E98="적합"),"통과","미달"))</f>
        <v/>
      </c>
      <c r="L98" s="10" t="str">
        <f aca="false">IF(F98="","",IF(F98&gt;='검증 기준'!$B$5,"통과","미달"))</f>
        <v/>
      </c>
      <c r="M98" s="10" t="str">
        <f aca="false">IF(G98="","",IF(G98&lt;='검증 기준'!$B$6,"통과","불안정"))</f>
        <v/>
      </c>
      <c r="N98" s="10" t="str">
        <f aca="false">IF(OR(H98="",I98=""),"",IF(OR(AND(H98&gt;='검증 기준'!$B$7,H98&lt;=I98-'검증 기준'!$B$8),C98="고"),"통과","예비"))</f>
        <v/>
      </c>
      <c r="O98" s="10" t="str">
        <f aca="false">IF(J98="예","공급 공백",IF(OR(K98="",L98="",M98="",N98=""),"",IF(AND(K98="통과",L98="통과",N98="통과"),IF(M98="통과","패널","패널(불안정)"),IF(N98="예비","예비","제외"))))</f>
        <v/>
      </c>
    </row>
    <row r="99" customFormat="false" ht="15" hidden="false" customHeight="false" outlineLevel="0" collapsed="false">
      <c r="A99" s="10" t="str">
        <f aca="false">'템플릿 문항'!A98</f>
        <v>Q095</v>
      </c>
      <c r="B99" s="10" t="str">
        <f aca="false">'템플릿 문항'!E98</f>
        <v>{지자체} 수도 요금은 얼마인가요?</v>
      </c>
      <c r="C99" s="10" t="str">
        <f aca="false">'템플릿 문항'!H98</f>
        <v>중</v>
      </c>
      <c r="D99" s="20"/>
      <c r="E99" s="20"/>
      <c r="F99" s="21"/>
      <c r="G99" s="21"/>
      <c r="H99" s="21"/>
      <c r="I99" s="21" t="n">
        <v>5</v>
      </c>
      <c r="J99" s="20"/>
      <c r="K99" s="10" t="str">
        <f aca="false">IF(OR(D99="",E99=""),"",IF(AND(D99="적합",E99="적합"),"통과","미달"))</f>
        <v/>
      </c>
      <c r="L99" s="10" t="str">
        <f aca="false">IF(F99="","",IF(F99&gt;='검증 기준'!$B$5,"통과","미달"))</f>
        <v/>
      </c>
      <c r="M99" s="10" t="str">
        <f aca="false">IF(G99="","",IF(G99&lt;='검증 기준'!$B$6,"통과","불안정"))</f>
        <v/>
      </c>
      <c r="N99" s="10" t="str">
        <f aca="false">IF(OR(H99="",I99=""),"",IF(OR(AND(H99&gt;='검증 기준'!$B$7,H99&lt;=I99-'검증 기준'!$B$8),C99="고"),"통과","예비"))</f>
        <v/>
      </c>
      <c r="O99" s="10" t="str">
        <f aca="false">IF(J99="예","공급 공백",IF(OR(K99="",L99="",M99="",N99=""),"",IF(AND(K99="통과",L99="통과",N99="통과"),IF(M99="통과","패널","패널(불안정)"),IF(N99="예비","예비","제외"))))</f>
        <v/>
      </c>
    </row>
    <row r="100" customFormat="false" ht="15" hidden="false" customHeight="false" outlineLevel="0" collapsed="false">
      <c r="A100" s="10" t="str">
        <f aca="false">'템플릿 문항'!A99</f>
        <v>Q096</v>
      </c>
      <c r="B100" s="10" t="str">
        <f aca="false">'템플릿 문항'!E99</f>
        <v>{지자체} 수도 요금 감면 대상이 누구인가요?</v>
      </c>
      <c r="C100" s="10" t="str">
        <f aca="false">'템플릿 문항'!H99</f>
        <v>중</v>
      </c>
      <c r="D100" s="20"/>
      <c r="E100" s="20"/>
      <c r="F100" s="21"/>
      <c r="G100" s="21"/>
      <c r="H100" s="21"/>
      <c r="I100" s="21" t="n">
        <v>5</v>
      </c>
      <c r="J100" s="20"/>
      <c r="K100" s="10" t="str">
        <f aca="false">IF(OR(D100="",E100=""),"",IF(AND(D100="적합",E100="적합"),"통과","미달"))</f>
        <v/>
      </c>
      <c r="L100" s="10" t="str">
        <f aca="false">IF(F100="","",IF(F100&gt;='검증 기준'!$B$5,"통과","미달"))</f>
        <v/>
      </c>
      <c r="M100" s="10" t="str">
        <f aca="false">IF(G100="","",IF(G100&lt;='검증 기준'!$B$6,"통과","불안정"))</f>
        <v/>
      </c>
      <c r="N100" s="10" t="str">
        <f aca="false">IF(OR(H100="",I100=""),"",IF(OR(AND(H100&gt;='검증 기준'!$B$7,H100&lt;=I100-'검증 기준'!$B$8),C100="고"),"통과","예비"))</f>
        <v/>
      </c>
      <c r="O100" s="10" t="str">
        <f aca="false">IF(J100="예","공급 공백",IF(OR(K100="",L100="",M100="",N100=""),"",IF(AND(K100="통과",L100="통과",N100="통과"),IF(M100="통과","패널","패널(불안정)"),IF(N100="예비","예비","제외"))))</f>
        <v/>
      </c>
    </row>
    <row r="101" customFormat="false" ht="15" hidden="false" customHeight="false" outlineLevel="0" collapsed="false">
      <c r="A101" s="10" t="str">
        <f aca="false">'템플릿 문항'!A100</f>
        <v>Q097</v>
      </c>
      <c r="B101" s="10" t="str">
        <f aca="false">'템플릿 문항'!E100</f>
        <v>{지자체} 수도 요금 자동이체 신청은 어떻게 하나요?</v>
      </c>
      <c r="C101" s="10" t="str">
        <f aca="false">'템플릿 문항'!H100</f>
        <v>저</v>
      </c>
      <c r="D101" s="20"/>
      <c r="E101" s="20"/>
      <c r="F101" s="21"/>
      <c r="G101" s="21"/>
      <c r="H101" s="21"/>
      <c r="I101" s="21" t="n">
        <v>5</v>
      </c>
      <c r="J101" s="20"/>
      <c r="K101" s="10" t="str">
        <f aca="false">IF(OR(D101="",E101=""),"",IF(AND(D101="적합",E101="적합"),"통과","미달"))</f>
        <v/>
      </c>
      <c r="L101" s="10" t="str">
        <f aca="false">IF(F101="","",IF(F101&gt;='검증 기준'!$B$5,"통과","미달"))</f>
        <v/>
      </c>
      <c r="M101" s="10" t="str">
        <f aca="false">IF(G101="","",IF(G101&lt;='검증 기준'!$B$6,"통과","불안정"))</f>
        <v/>
      </c>
      <c r="N101" s="10" t="str">
        <f aca="false">IF(OR(H101="",I101=""),"",IF(OR(AND(H101&gt;='검증 기준'!$B$7,H101&lt;=I101-'검증 기준'!$B$8),C101="고"),"통과","예비"))</f>
        <v/>
      </c>
      <c r="O101" s="10" t="str">
        <f aca="false">IF(J101="예","공급 공백",IF(OR(K101="",L101="",M101="",N101=""),"",IF(AND(K101="통과",L101="통과",N101="통과"),IF(M101="통과","패널","패널(불안정)"),IF(N101="예비","예비","제외"))))</f>
        <v/>
      </c>
    </row>
    <row r="102" customFormat="false" ht="15" hidden="false" customHeight="false" outlineLevel="0" collapsed="false">
      <c r="A102" s="10" t="str">
        <f aca="false">'템플릿 문항'!A101</f>
        <v>Q098</v>
      </c>
      <c r="B102" s="10" t="str">
        <f aca="false">'템플릿 문항'!E101</f>
        <v>{지자체} 상하수도 고장 신고 전화번호가 뭔가요?</v>
      </c>
      <c r="C102" s="10" t="str">
        <f aca="false">'템플릿 문항'!H101</f>
        <v>고</v>
      </c>
      <c r="D102" s="20"/>
      <c r="E102" s="20"/>
      <c r="F102" s="21"/>
      <c r="G102" s="21"/>
      <c r="H102" s="21"/>
      <c r="I102" s="21" t="n">
        <v>5</v>
      </c>
      <c r="J102" s="20"/>
      <c r="K102" s="10" t="str">
        <f aca="false">IF(OR(D102="",E102=""),"",IF(AND(D102="적합",E102="적합"),"통과","미달"))</f>
        <v/>
      </c>
      <c r="L102" s="10" t="str">
        <f aca="false">IF(F102="","",IF(F102&gt;='검증 기준'!$B$5,"통과","미달"))</f>
        <v/>
      </c>
      <c r="M102" s="10" t="str">
        <f aca="false">IF(G102="","",IF(G102&lt;='검증 기준'!$B$6,"통과","불안정"))</f>
        <v/>
      </c>
      <c r="N102" s="10" t="str">
        <f aca="false">IF(OR(H102="",I102=""),"",IF(OR(AND(H102&gt;='검증 기준'!$B$7,H102&lt;=I102-'검증 기준'!$B$8),C102="고"),"통과","예비"))</f>
        <v/>
      </c>
      <c r="O102" s="10" t="str">
        <f aca="false">IF(J102="예","공급 공백",IF(OR(K102="",L102="",M102="",N102=""),"",IF(AND(K102="통과",L102="통과",N102="통과"),IF(M102="통과","패널","패널(불안정)"),IF(N102="예비","예비","제외"))))</f>
        <v/>
      </c>
    </row>
    <row r="103" customFormat="false" ht="15" hidden="false" customHeight="false" outlineLevel="0" collapsed="false">
      <c r="A103" s="10" t="str">
        <f aca="false">'템플릿 문항'!A102</f>
        <v>Q099</v>
      </c>
      <c r="B103" s="10" t="str">
        <f aca="false">'템플릿 문항'!E102</f>
        <v>{지자체} 전출할 때 수도 요금 정산은 어떻게 하나요?</v>
      </c>
      <c r="C103" s="10" t="str">
        <f aca="false">'템플릿 문항'!H102</f>
        <v>중</v>
      </c>
      <c r="D103" s="20"/>
      <c r="E103" s="20"/>
      <c r="F103" s="21"/>
      <c r="G103" s="21"/>
      <c r="H103" s="21"/>
      <c r="I103" s="21" t="n">
        <v>5</v>
      </c>
      <c r="J103" s="20"/>
      <c r="K103" s="10" t="str">
        <f aca="false">IF(OR(D103="",E103=""),"",IF(AND(D103="적합",E103="적합"),"통과","미달"))</f>
        <v/>
      </c>
      <c r="L103" s="10" t="str">
        <f aca="false">IF(F103="","",IF(F103&gt;='검증 기준'!$B$5,"통과","미달"))</f>
        <v/>
      </c>
      <c r="M103" s="10" t="str">
        <f aca="false">IF(G103="","",IF(G103&lt;='검증 기준'!$B$6,"통과","불안정"))</f>
        <v/>
      </c>
      <c r="N103" s="10" t="str">
        <f aca="false">IF(OR(H103="",I103=""),"",IF(OR(AND(H103&gt;='검증 기준'!$B$7,H103&lt;=I103-'검증 기준'!$B$8),C103="고"),"통과","예비"))</f>
        <v/>
      </c>
      <c r="O103" s="10" t="str">
        <f aca="false">IF(J103="예","공급 공백",IF(OR(K103="",L103="",M103="",N103=""),"",IF(AND(K103="통과",L103="통과",N103="통과"),IF(M103="통과","패널","패널(불안정)"),IF(N103="예비","예비","제외"))))</f>
        <v/>
      </c>
    </row>
    <row r="104" customFormat="false" ht="15" hidden="false" customHeight="false" outlineLevel="0" collapsed="false">
      <c r="A104" s="10" t="str">
        <f aca="false">'템플릿 문항'!A103</f>
        <v>Q100</v>
      </c>
      <c r="B104" s="10" t="str">
        <f aca="false">'템플릿 문항'!E103</f>
        <v>{지자체} 과태료 이의신청 기한이 며칠인가요?</v>
      </c>
      <c r="C104" s="10" t="str">
        <f aca="false">'템플릿 문항'!H103</f>
        <v>고</v>
      </c>
      <c r="D104" s="20"/>
      <c r="E104" s="20"/>
      <c r="F104" s="21"/>
      <c r="G104" s="21"/>
      <c r="H104" s="21"/>
      <c r="I104" s="21" t="n">
        <v>5</v>
      </c>
      <c r="J104" s="20"/>
      <c r="K104" s="10" t="str">
        <f aca="false">IF(OR(D104="",E104=""),"",IF(AND(D104="적합",E104="적합"),"통과","미달"))</f>
        <v/>
      </c>
      <c r="L104" s="10" t="str">
        <f aca="false">IF(F104="","",IF(F104&gt;='검증 기준'!$B$5,"통과","미달"))</f>
        <v/>
      </c>
      <c r="M104" s="10" t="str">
        <f aca="false">IF(G104="","",IF(G104&lt;='검증 기준'!$B$6,"통과","불안정"))</f>
        <v/>
      </c>
      <c r="N104" s="10" t="str">
        <f aca="false">IF(OR(H104="",I104=""),"",IF(OR(AND(H104&gt;='검증 기준'!$B$7,H104&lt;=I104-'검증 기준'!$B$8),C104="고"),"통과","예비"))</f>
        <v/>
      </c>
      <c r="O104" s="10" t="str">
        <f aca="false">IF(J104="예","공급 공백",IF(OR(K104="",L104="",M104="",N104=""),"",IF(AND(K104="통과",L104="통과",N104="통과"),IF(M104="통과","패널","패널(불안정)"),IF(N104="예비","예비","제외"))))</f>
        <v/>
      </c>
    </row>
    <row r="105" customFormat="false" ht="15" hidden="false" customHeight="false" outlineLevel="0" collapsed="false">
      <c r="A105" s="10" t="str">
        <f aca="false">'템플릿 문항'!A104</f>
        <v>Q101</v>
      </c>
      <c r="B105" s="10" t="str">
        <f aca="false">'템플릿 문항'!E104</f>
        <v>{지자체} 지방세 환급금은 어떻게 받나요?</v>
      </c>
      <c r="C105" s="10" t="str">
        <f aca="false">'템플릿 문항'!H104</f>
        <v>고</v>
      </c>
      <c r="D105" s="20"/>
      <c r="E105" s="20"/>
      <c r="F105" s="21"/>
      <c r="G105" s="21"/>
      <c r="H105" s="21"/>
      <c r="I105" s="21" t="n">
        <v>5</v>
      </c>
      <c r="J105" s="20"/>
      <c r="K105" s="10" t="str">
        <f aca="false">IF(OR(D105="",E105=""),"",IF(AND(D105="적합",E105="적합"),"통과","미달"))</f>
        <v/>
      </c>
      <c r="L105" s="10" t="str">
        <f aca="false">IF(F105="","",IF(F105&gt;='검증 기준'!$B$5,"통과","미달"))</f>
        <v/>
      </c>
      <c r="M105" s="10" t="str">
        <f aca="false">IF(G105="","",IF(G105&lt;='검증 기준'!$B$6,"통과","불안정"))</f>
        <v/>
      </c>
      <c r="N105" s="10" t="str">
        <f aca="false">IF(OR(H105="",I105=""),"",IF(OR(AND(H105&gt;='검증 기준'!$B$7,H105&lt;=I105-'검증 기준'!$B$8),C105="고"),"통과","예비"))</f>
        <v/>
      </c>
      <c r="O105" s="10" t="str">
        <f aca="false">IF(J105="예","공급 공백",IF(OR(K105="",L105="",M105="",N105=""),"",IF(AND(K105="통과",L105="통과",N105="통과"),IF(M105="통과","패널","패널(불안정)"),IF(N105="예비","예비","제외"))))</f>
        <v/>
      </c>
    </row>
    <row r="106" customFormat="false" ht="15" hidden="false" customHeight="false" outlineLevel="0" collapsed="false">
      <c r="A106" s="10" t="str">
        <f aca="false">'템플릿 문항'!A105</f>
        <v>Q102</v>
      </c>
      <c r="B106" s="10" t="str">
        <f aca="false">'템플릿 문항'!E105</f>
        <v>{지자체} 과태료 분할 납부 가능한가요?</v>
      </c>
      <c r="C106" s="10" t="str">
        <f aca="false">'템플릿 문항'!H105</f>
        <v>고</v>
      </c>
      <c r="D106" s="20"/>
      <c r="E106" s="20"/>
      <c r="F106" s="21"/>
      <c r="G106" s="21"/>
      <c r="H106" s="21"/>
      <c r="I106" s="21" t="n">
        <v>5</v>
      </c>
      <c r="J106" s="20"/>
      <c r="K106" s="10" t="str">
        <f aca="false">IF(OR(D106="",E106=""),"",IF(AND(D106="적합",E106="적합"),"통과","미달"))</f>
        <v/>
      </c>
      <c r="L106" s="10" t="str">
        <f aca="false">IF(F106="","",IF(F106&gt;='검증 기준'!$B$5,"통과","미달"))</f>
        <v/>
      </c>
      <c r="M106" s="10" t="str">
        <f aca="false">IF(G106="","",IF(G106&lt;='검증 기준'!$B$6,"통과","불안정"))</f>
        <v/>
      </c>
      <c r="N106" s="10" t="str">
        <f aca="false">IF(OR(H106="",I106=""),"",IF(OR(AND(H106&gt;='검증 기준'!$B$7,H106&lt;=I106-'검증 기준'!$B$8),C106="고"),"통과","예비"))</f>
        <v/>
      </c>
      <c r="O106" s="10" t="str">
        <f aca="false">IF(J106="예","공급 공백",IF(OR(K106="",L106="",M106="",N106=""),"",IF(AND(K106="통과",L106="통과",N106="통과"),IF(M106="통과","패널","패널(불안정)"),IF(N106="예비","예비","제외"))))</f>
        <v/>
      </c>
    </row>
    <row r="107" customFormat="false" ht="15" hidden="false" customHeight="false" outlineLevel="0" collapsed="false">
      <c r="A107" s="10" t="str">
        <f aca="false">'템플릿 문항'!A106</f>
        <v>Q103</v>
      </c>
      <c r="B107" s="10" t="str">
        <f aca="false">'템플릿 문항'!E106</f>
        <v>{지자체} 지방세 체납 상담 전화번호 알려주세요</v>
      </c>
      <c r="C107" s="10" t="str">
        <f aca="false">'템플릿 문항'!H106</f>
        <v>중</v>
      </c>
      <c r="D107" s="20"/>
      <c r="E107" s="20"/>
      <c r="F107" s="21"/>
      <c r="G107" s="21"/>
      <c r="H107" s="21"/>
      <c r="I107" s="21" t="n">
        <v>5</v>
      </c>
      <c r="J107" s="20"/>
      <c r="K107" s="10" t="str">
        <f aca="false">IF(OR(D107="",E107=""),"",IF(AND(D107="적합",E107="적합"),"통과","미달"))</f>
        <v/>
      </c>
      <c r="L107" s="10" t="str">
        <f aca="false">IF(F107="","",IF(F107&gt;='검증 기준'!$B$5,"통과","미달"))</f>
        <v/>
      </c>
      <c r="M107" s="10" t="str">
        <f aca="false">IF(G107="","",IF(G107&lt;='검증 기준'!$B$6,"통과","불안정"))</f>
        <v/>
      </c>
      <c r="N107" s="10" t="str">
        <f aca="false">IF(OR(H107="",I107=""),"",IF(OR(AND(H107&gt;='검증 기준'!$B$7,H107&lt;=I107-'검증 기준'!$B$8),C107="고"),"통과","예비"))</f>
        <v/>
      </c>
      <c r="O107" s="10" t="str">
        <f aca="false">IF(J107="예","공급 공백",IF(OR(K107="",L107="",M107="",N107=""),"",IF(AND(K107="통과",L107="통과",N107="통과"),IF(M107="통과","패널","패널(불안정)"),IF(N107="예비","예비","제외"))))</f>
        <v/>
      </c>
    </row>
    <row r="108" customFormat="false" ht="15" hidden="false" customHeight="false" outlineLevel="0" collapsed="false">
      <c r="A108" s="10" t="str">
        <f aca="false">'템플릿 문항'!A107</f>
        <v>Q104</v>
      </c>
      <c r="B108" s="10" t="str">
        <f aca="false">'템플릿 문항'!E107</f>
        <v>{지자체} 지역화폐 할인율이 몇 퍼센트인가요?</v>
      </c>
      <c r="C108" s="10" t="str">
        <f aca="false">'템플릿 문항'!H107</f>
        <v>중</v>
      </c>
      <c r="D108" s="20"/>
      <c r="E108" s="20"/>
      <c r="F108" s="21"/>
      <c r="G108" s="21"/>
      <c r="H108" s="21"/>
      <c r="I108" s="21" t="n">
        <v>5</v>
      </c>
      <c r="J108" s="20"/>
      <c r="K108" s="10" t="str">
        <f aca="false">IF(OR(D108="",E108=""),"",IF(AND(D108="적합",E108="적합"),"통과","미달"))</f>
        <v/>
      </c>
      <c r="L108" s="10" t="str">
        <f aca="false">IF(F108="","",IF(F108&gt;='검증 기준'!$B$5,"통과","미달"))</f>
        <v/>
      </c>
      <c r="M108" s="10" t="str">
        <f aca="false">IF(G108="","",IF(G108&lt;='검증 기준'!$B$6,"통과","불안정"))</f>
        <v/>
      </c>
      <c r="N108" s="10" t="str">
        <f aca="false">IF(OR(H108="",I108=""),"",IF(OR(AND(H108&gt;='검증 기준'!$B$7,H108&lt;=I108-'검증 기준'!$B$8),C108="고"),"통과","예비"))</f>
        <v/>
      </c>
      <c r="O108" s="10" t="str">
        <f aca="false">IF(J108="예","공급 공백",IF(OR(K108="",L108="",M108="",N108=""),"",IF(AND(K108="통과",L108="통과",N108="통과"),IF(M108="통과","패널","패널(불안정)"),IF(N108="예비","예비","제외"))))</f>
        <v/>
      </c>
    </row>
    <row r="109" customFormat="false" ht="15" hidden="false" customHeight="false" outlineLevel="0" collapsed="false">
      <c r="A109" s="10" t="str">
        <f aca="false">'템플릿 문항'!A108</f>
        <v>Q105</v>
      </c>
      <c r="B109" s="10" t="str">
        <f aca="false">'템플릿 문항'!E108</f>
        <v>{지자체} 지역화폐 월 구매 한도가 얼마인가요?</v>
      </c>
      <c r="C109" s="10" t="str">
        <f aca="false">'템플릿 문항'!H108</f>
        <v>중</v>
      </c>
      <c r="D109" s="20"/>
      <c r="E109" s="20"/>
      <c r="F109" s="21"/>
      <c r="G109" s="21"/>
      <c r="H109" s="21"/>
      <c r="I109" s="21" t="n">
        <v>5</v>
      </c>
      <c r="J109" s="20"/>
      <c r="K109" s="10" t="str">
        <f aca="false">IF(OR(D109="",E109=""),"",IF(AND(D109="적합",E109="적합"),"통과","미달"))</f>
        <v/>
      </c>
      <c r="L109" s="10" t="str">
        <f aca="false">IF(F109="","",IF(F109&gt;='검증 기준'!$B$5,"통과","미달"))</f>
        <v/>
      </c>
      <c r="M109" s="10" t="str">
        <f aca="false">IF(G109="","",IF(G109&lt;='검증 기준'!$B$6,"통과","불안정"))</f>
        <v/>
      </c>
      <c r="N109" s="10" t="str">
        <f aca="false">IF(OR(H109="",I109=""),"",IF(OR(AND(H109&gt;='검증 기준'!$B$7,H109&lt;=I109-'검증 기준'!$B$8),C109="고"),"통과","예비"))</f>
        <v/>
      </c>
      <c r="O109" s="10" t="str">
        <f aca="false">IF(J109="예","공급 공백",IF(OR(K109="",L109="",M109="",N109=""),"",IF(AND(K109="통과",L109="통과",N109="통과"),IF(M109="통과","패널","패널(불안정)"),IF(N109="예비","예비","제외"))))</f>
        <v/>
      </c>
    </row>
    <row r="110" customFormat="false" ht="15" hidden="false" customHeight="false" outlineLevel="0" collapsed="false">
      <c r="A110" s="10" t="str">
        <f aca="false">'템플릿 문항'!A109</f>
        <v>Q106</v>
      </c>
      <c r="B110" s="10" t="str">
        <f aca="false">'템플릿 문항'!E109</f>
        <v>{지자체} 지역화폐는 어디서 살 수 있나요?</v>
      </c>
      <c r="C110" s="10" t="str">
        <f aca="false">'템플릿 문항'!H109</f>
        <v>저</v>
      </c>
      <c r="D110" s="20"/>
      <c r="E110" s="20"/>
      <c r="F110" s="21"/>
      <c r="G110" s="21"/>
      <c r="H110" s="21"/>
      <c r="I110" s="21" t="n">
        <v>5</v>
      </c>
      <c r="J110" s="20"/>
      <c r="K110" s="10" t="str">
        <f aca="false">IF(OR(D110="",E110=""),"",IF(AND(D110="적합",E110="적합"),"통과","미달"))</f>
        <v/>
      </c>
      <c r="L110" s="10" t="str">
        <f aca="false">IF(F110="","",IF(F110&gt;='검증 기준'!$B$5,"통과","미달"))</f>
        <v/>
      </c>
      <c r="M110" s="10" t="str">
        <f aca="false">IF(G110="","",IF(G110&lt;='검증 기준'!$B$6,"통과","불안정"))</f>
        <v/>
      </c>
      <c r="N110" s="10" t="str">
        <f aca="false">IF(OR(H110="",I110=""),"",IF(OR(AND(H110&gt;='검증 기준'!$B$7,H110&lt;=I110-'검증 기준'!$B$8),C110="고"),"통과","예비"))</f>
        <v/>
      </c>
      <c r="O110" s="10" t="str">
        <f aca="false">IF(J110="예","공급 공백",IF(OR(K110="",L110="",M110="",N110=""),"",IF(AND(K110="통과",L110="통과",N110="통과"),IF(M110="통과","패널","패널(불안정)"),IF(N110="예비","예비","제외"))))</f>
        <v/>
      </c>
    </row>
    <row r="111" customFormat="false" ht="15" hidden="false" customHeight="false" outlineLevel="0" collapsed="false">
      <c r="A111" s="10" t="str">
        <f aca="false">'템플릿 문항'!A110</f>
        <v>Q107</v>
      </c>
      <c r="B111" s="10" t="str">
        <f aca="false">'템플릿 문항'!E110</f>
        <v>{지자체} 지역화폐 가맹점은 어떻게 확인하나요?</v>
      </c>
      <c r="C111" s="10" t="str">
        <f aca="false">'템플릿 문항'!H110</f>
        <v>저</v>
      </c>
      <c r="D111" s="20"/>
      <c r="E111" s="20"/>
      <c r="F111" s="21"/>
      <c r="G111" s="21"/>
      <c r="H111" s="21"/>
      <c r="I111" s="21" t="n">
        <v>5</v>
      </c>
      <c r="J111" s="20"/>
      <c r="K111" s="10" t="str">
        <f aca="false">IF(OR(D111="",E111=""),"",IF(AND(D111="적합",E111="적합"),"통과","미달"))</f>
        <v/>
      </c>
      <c r="L111" s="10" t="str">
        <f aca="false">IF(F111="","",IF(F111&gt;='검증 기준'!$B$5,"통과","미달"))</f>
        <v/>
      </c>
      <c r="M111" s="10" t="str">
        <f aca="false">IF(G111="","",IF(G111&lt;='검증 기준'!$B$6,"통과","불안정"))</f>
        <v/>
      </c>
      <c r="N111" s="10" t="str">
        <f aca="false">IF(OR(H111="",I111=""),"",IF(OR(AND(H111&gt;='검증 기준'!$B$7,H111&lt;=I111-'검증 기준'!$B$8),C111="고"),"통과","예비"))</f>
        <v/>
      </c>
      <c r="O111" s="10" t="str">
        <f aca="false">IF(J111="예","공급 공백",IF(OR(K111="",L111="",M111="",N111=""),"",IF(AND(K111="통과",L111="통과",N111="통과"),IF(M111="통과","패널","패널(불안정)"),IF(N111="예비","예비","제외"))))</f>
        <v/>
      </c>
    </row>
    <row r="112" customFormat="false" ht="15" hidden="false" customHeight="false" outlineLevel="0" collapsed="false">
      <c r="A112" s="10" t="str">
        <f aca="false">'템플릿 문항'!A111</f>
        <v>Q108</v>
      </c>
      <c r="B112" s="10" t="str">
        <f aca="false">'템플릿 문항'!E111</f>
        <v>{지자체} {동} 지진 대피소가 어디인가요?</v>
      </c>
      <c r="C112" s="10" t="str">
        <f aca="false">'템플릿 문항'!H111</f>
        <v>고</v>
      </c>
      <c r="D112" s="20"/>
      <c r="E112" s="20"/>
      <c r="F112" s="21"/>
      <c r="G112" s="21"/>
      <c r="H112" s="21"/>
      <c r="I112" s="21" t="n">
        <v>5</v>
      </c>
      <c r="J112" s="20"/>
      <c r="K112" s="10" t="str">
        <f aca="false">IF(OR(D112="",E112=""),"",IF(AND(D112="적합",E112="적합"),"통과","미달"))</f>
        <v/>
      </c>
      <c r="L112" s="10" t="str">
        <f aca="false">IF(F112="","",IF(F112&gt;='검증 기준'!$B$5,"통과","미달"))</f>
        <v/>
      </c>
      <c r="M112" s="10" t="str">
        <f aca="false">IF(G112="","",IF(G112&lt;='검증 기준'!$B$6,"통과","불안정"))</f>
        <v/>
      </c>
      <c r="N112" s="10" t="str">
        <f aca="false">IF(OR(H112="",I112=""),"",IF(OR(AND(H112&gt;='검증 기준'!$B$7,H112&lt;=I112-'검증 기준'!$B$8),C112="고"),"통과","예비"))</f>
        <v/>
      </c>
      <c r="O112" s="10" t="str">
        <f aca="false">IF(J112="예","공급 공백",IF(OR(K112="",L112="",M112="",N112=""),"",IF(AND(K112="통과",L112="통과",N112="통과"),IF(M112="통과","패널","패널(불안정)"),IF(N112="예비","예비","제외"))))</f>
        <v/>
      </c>
    </row>
    <row r="113" customFormat="false" ht="15" hidden="false" customHeight="false" outlineLevel="0" collapsed="false">
      <c r="A113" s="10" t="str">
        <f aca="false">'템플릿 문항'!A112</f>
        <v>Q109</v>
      </c>
      <c r="B113" s="10" t="str">
        <f aca="false">'템플릿 문항'!E112</f>
        <v>{지자체} 무더위쉼터는 어디에 있나요?</v>
      </c>
      <c r="C113" s="10" t="str">
        <f aca="false">'템플릿 문항'!H112</f>
        <v>고</v>
      </c>
      <c r="D113" s="20"/>
      <c r="E113" s="20"/>
      <c r="F113" s="21"/>
      <c r="G113" s="21"/>
      <c r="H113" s="21"/>
      <c r="I113" s="21" t="n">
        <v>5</v>
      </c>
      <c r="J113" s="20"/>
      <c r="K113" s="10" t="str">
        <f aca="false">IF(OR(D113="",E113=""),"",IF(AND(D113="적합",E113="적합"),"통과","미달"))</f>
        <v/>
      </c>
      <c r="L113" s="10" t="str">
        <f aca="false">IF(F113="","",IF(F113&gt;='검증 기준'!$B$5,"통과","미달"))</f>
        <v/>
      </c>
      <c r="M113" s="10" t="str">
        <f aca="false">IF(G113="","",IF(G113&lt;='검증 기준'!$B$6,"통과","불안정"))</f>
        <v/>
      </c>
      <c r="N113" s="10" t="str">
        <f aca="false">IF(OR(H113="",I113=""),"",IF(OR(AND(H113&gt;='검증 기준'!$B$7,H113&lt;=I113-'검증 기준'!$B$8),C113="고"),"통과","예비"))</f>
        <v/>
      </c>
      <c r="O113" s="10" t="str">
        <f aca="false">IF(J113="예","공급 공백",IF(OR(K113="",L113="",M113="",N113=""),"",IF(AND(K113="통과",L113="통과",N113="통과"),IF(M113="통과","패널","패널(불안정)"),IF(N113="예비","예비","제외"))))</f>
        <v/>
      </c>
    </row>
    <row r="114" customFormat="false" ht="15" hidden="false" customHeight="false" outlineLevel="0" collapsed="false">
      <c r="A114" s="10" t="str">
        <f aca="false">'템플릿 문항'!A113</f>
        <v>Q110</v>
      </c>
      <c r="B114" s="10" t="str">
        <f aca="false">'템플릿 문항'!E113</f>
        <v>{지자체} 한파쉼터 운영 시간이 언제인가요?</v>
      </c>
      <c r="C114" s="10" t="str">
        <f aca="false">'템플릿 문항'!H113</f>
        <v>고</v>
      </c>
      <c r="D114" s="20"/>
      <c r="E114" s="20"/>
      <c r="F114" s="21"/>
      <c r="G114" s="21"/>
      <c r="H114" s="21"/>
      <c r="I114" s="21" t="n">
        <v>5</v>
      </c>
      <c r="J114" s="20"/>
      <c r="K114" s="10" t="str">
        <f aca="false">IF(OR(D114="",E114=""),"",IF(AND(D114="적합",E114="적합"),"통과","미달"))</f>
        <v/>
      </c>
      <c r="L114" s="10" t="str">
        <f aca="false">IF(F114="","",IF(F114&gt;='검증 기준'!$B$5,"통과","미달"))</f>
        <v/>
      </c>
      <c r="M114" s="10" t="str">
        <f aca="false">IF(G114="","",IF(G114&lt;='검증 기준'!$B$6,"통과","불안정"))</f>
        <v/>
      </c>
      <c r="N114" s="10" t="str">
        <f aca="false">IF(OR(H114="",I114=""),"",IF(OR(AND(H114&gt;='검증 기준'!$B$7,H114&lt;=I114-'검증 기준'!$B$8),C114="고"),"통과","예비"))</f>
        <v/>
      </c>
      <c r="O114" s="10" t="str">
        <f aca="false">IF(J114="예","공급 공백",IF(OR(K114="",L114="",M114="",N114=""),"",IF(AND(K114="통과",L114="통과",N114="통과"),IF(M114="통과","패널","패널(불안정)"),IF(N114="예비","예비","제외"))))</f>
        <v/>
      </c>
    </row>
    <row r="115" customFormat="false" ht="15" hidden="false" customHeight="false" outlineLevel="0" collapsed="false">
      <c r="A115" s="10" t="str">
        <f aca="false">'템플릿 문항'!A114</f>
        <v>Q111</v>
      </c>
      <c r="B115" s="10" t="str">
        <f aca="false">'템플릿 문항'!E114</f>
        <v>{지자체} 재난 상황실 전화번호가 뭔가요?</v>
      </c>
      <c r="C115" s="10" t="str">
        <f aca="false">'템플릿 문항'!H114</f>
        <v>고</v>
      </c>
      <c r="D115" s="20"/>
      <c r="E115" s="20"/>
      <c r="F115" s="21"/>
      <c r="G115" s="21"/>
      <c r="H115" s="21"/>
      <c r="I115" s="21" t="n">
        <v>5</v>
      </c>
      <c r="J115" s="20"/>
      <c r="K115" s="10" t="str">
        <f aca="false">IF(OR(D115="",E115=""),"",IF(AND(D115="적합",E115="적합"),"통과","미달"))</f>
        <v/>
      </c>
      <c r="L115" s="10" t="str">
        <f aca="false">IF(F115="","",IF(F115&gt;='검증 기준'!$B$5,"통과","미달"))</f>
        <v/>
      </c>
      <c r="M115" s="10" t="str">
        <f aca="false">IF(G115="","",IF(G115&lt;='검증 기준'!$B$6,"통과","불안정"))</f>
        <v/>
      </c>
      <c r="N115" s="10" t="str">
        <f aca="false">IF(OR(H115="",I115=""),"",IF(OR(AND(H115&gt;='검증 기준'!$B$7,H115&lt;=I115-'검증 기준'!$B$8),C115="고"),"통과","예비"))</f>
        <v/>
      </c>
      <c r="O115" s="10" t="str">
        <f aca="false">IF(J115="예","공급 공백",IF(OR(K115="",L115="",M115="",N115=""),"",IF(AND(K115="통과",L115="통과",N115="통과"),IF(M115="통과","패널","패널(불안정)"),IF(N115="예비","예비","제외"))))</f>
        <v/>
      </c>
    </row>
    <row r="116" customFormat="false" ht="15" hidden="false" customHeight="false" outlineLevel="0" collapsed="false">
      <c r="A116" s="10" t="str">
        <f aca="false">'템플릿 문항'!A115</f>
        <v>Q112</v>
      </c>
      <c r="B116" s="10" t="str">
        <f aca="false">'템플릿 문항'!E115</f>
        <v>{지자체} 침수 시 대피 장소가 어디인가요?</v>
      </c>
      <c r="C116" s="10" t="str">
        <f aca="false">'템플릿 문항'!H115</f>
        <v>고</v>
      </c>
      <c r="D116" s="20"/>
      <c r="E116" s="20"/>
      <c r="F116" s="21"/>
      <c r="G116" s="21"/>
      <c r="H116" s="21"/>
      <c r="I116" s="21" t="n">
        <v>5</v>
      </c>
      <c r="J116" s="20"/>
      <c r="K116" s="10" t="str">
        <f aca="false">IF(OR(D116="",E116=""),"",IF(AND(D116="적합",E116="적합"),"통과","미달"))</f>
        <v/>
      </c>
      <c r="L116" s="10" t="str">
        <f aca="false">IF(F116="","",IF(F116&gt;='검증 기준'!$B$5,"통과","미달"))</f>
        <v/>
      </c>
      <c r="M116" s="10" t="str">
        <f aca="false">IF(G116="","",IF(G116&lt;='검증 기준'!$B$6,"통과","불안정"))</f>
        <v/>
      </c>
      <c r="N116" s="10" t="str">
        <f aca="false">IF(OR(H116="",I116=""),"",IF(OR(AND(H116&gt;='검증 기준'!$B$7,H116&lt;=I116-'검증 기준'!$B$8),C116="고"),"통과","예비"))</f>
        <v/>
      </c>
      <c r="O116" s="10" t="str">
        <f aca="false">IF(J116="예","공급 공백",IF(OR(K116="",L116="",M116="",N116=""),"",IF(AND(K116="통과",L116="통과",N116="통과"),IF(M116="통과","패널","패널(불안정)"),IF(N116="예비","예비","제외"))))</f>
        <v/>
      </c>
    </row>
    <row r="117" customFormat="false" ht="15" hidden="false" customHeight="false" outlineLevel="0" collapsed="false">
      <c r="A117" s="10" t="str">
        <f aca="false">'템플릿 문항'!A116</f>
        <v>Q113</v>
      </c>
      <c r="B117" s="10" t="str">
        <f aca="false">'템플릿 문항'!E116</f>
        <v>{지자체} 민방위 교육은 언제 하나요?</v>
      </c>
      <c r="C117" s="10" t="str">
        <f aca="false">'템플릿 문항'!H116</f>
        <v>중</v>
      </c>
      <c r="D117" s="20"/>
      <c r="E117" s="20"/>
      <c r="F117" s="21"/>
      <c r="G117" s="21"/>
      <c r="H117" s="21"/>
      <c r="I117" s="21" t="n">
        <v>5</v>
      </c>
      <c r="J117" s="20"/>
      <c r="K117" s="10" t="str">
        <f aca="false">IF(OR(D117="",E117=""),"",IF(AND(D117="적합",E117="적합"),"통과","미달"))</f>
        <v/>
      </c>
      <c r="L117" s="10" t="str">
        <f aca="false">IF(F117="","",IF(F117&gt;='검증 기준'!$B$5,"통과","미달"))</f>
        <v/>
      </c>
      <c r="M117" s="10" t="str">
        <f aca="false">IF(G117="","",IF(G117&lt;='검증 기준'!$B$6,"통과","불안정"))</f>
        <v/>
      </c>
      <c r="N117" s="10" t="str">
        <f aca="false">IF(OR(H117="",I117=""),"",IF(OR(AND(H117&gt;='검증 기준'!$B$7,H117&lt;=I117-'검증 기준'!$B$8),C117="고"),"통과","예비"))</f>
        <v/>
      </c>
      <c r="O117" s="10" t="str">
        <f aca="false">IF(J117="예","공급 공백",IF(OR(K117="",L117="",M117="",N117=""),"",IF(AND(K117="통과",L117="통과",N117="통과"),IF(M117="통과","패널","패널(불안정)"),IF(N117="예비","예비","제외"))))</f>
        <v/>
      </c>
    </row>
    <row r="118" customFormat="false" ht="15" hidden="false" customHeight="false" outlineLevel="0" collapsed="false">
      <c r="A118" s="10" t="str">
        <f aca="false">'템플릿 문항'!A117</f>
        <v>Q114</v>
      </c>
      <c r="B118" s="10" t="str">
        <f aca="false">'템플릿 문항'!E117</f>
        <v>{지자체} 민방위 교육 장소가 어디인가요?</v>
      </c>
      <c r="C118" s="10" t="str">
        <f aca="false">'템플릿 문항'!H117</f>
        <v>중</v>
      </c>
      <c r="D118" s="20"/>
      <c r="E118" s="20"/>
      <c r="F118" s="21"/>
      <c r="G118" s="21"/>
      <c r="H118" s="21"/>
      <c r="I118" s="21" t="n">
        <v>5</v>
      </c>
      <c r="J118" s="20"/>
      <c r="K118" s="10" t="str">
        <f aca="false">IF(OR(D118="",E118=""),"",IF(AND(D118="적합",E118="적합"),"통과","미달"))</f>
        <v/>
      </c>
      <c r="L118" s="10" t="str">
        <f aca="false">IF(F118="","",IF(F118&gt;='검증 기준'!$B$5,"통과","미달"))</f>
        <v/>
      </c>
      <c r="M118" s="10" t="str">
        <f aca="false">IF(G118="","",IF(G118&lt;='검증 기준'!$B$6,"통과","불안정"))</f>
        <v/>
      </c>
      <c r="N118" s="10" t="str">
        <f aca="false">IF(OR(H118="",I118=""),"",IF(OR(AND(H118&gt;='검증 기준'!$B$7,H118&lt;=I118-'검증 기준'!$B$8),C118="고"),"통과","예비"))</f>
        <v/>
      </c>
      <c r="O118" s="10" t="str">
        <f aca="false">IF(J118="예","공급 공백",IF(OR(K118="",L118="",M118="",N118=""),"",IF(AND(K118="통과",L118="통과",N118="통과"),IF(M118="통과","패널","패널(불안정)"),IF(N118="예비","예비","제외"))))</f>
        <v/>
      </c>
    </row>
    <row r="119" customFormat="false" ht="15" hidden="false" customHeight="false" outlineLevel="0" collapsed="false">
      <c r="A119" s="10" t="str">
        <f aca="false">'템플릿 문항'!A118</f>
        <v>Q115</v>
      </c>
      <c r="B119" s="10" t="str">
        <f aca="false">'템플릿 문항'!E118</f>
        <v>{지자체} 민방위 교육 불참하면 어떻게 되나요?</v>
      </c>
      <c r="C119" s="10" t="str">
        <f aca="false">'템플릿 문항'!H118</f>
        <v>중</v>
      </c>
      <c r="D119" s="20"/>
      <c r="E119" s="20"/>
      <c r="F119" s="21"/>
      <c r="G119" s="21"/>
      <c r="H119" s="21"/>
      <c r="I119" s="21" t="n">
        <v>5</v>
      </c>
      <c r="J119" s="20"/>
      <c r="K119" s="10" t="str">
        <f aca="false">IF(OR(D119="",E119=""),"",IF(AND(D119="적합",E119="적합"),"통과","미달"))</f>
        <v/>
      </c>
      <c r="L119" s="10" t="str">
        <f aca="false">IF(F119="","",IF(F119&gt;='검증 기준'!$B$5,"통과","미달"))</f>
        <v/>
      </c>
      <c r="M119" s="10" t="str">
        <f aca="false">IF(G119="","",IF(G119&lt;='검증 기준'!$B$6,"통과","불안정"))</f>
        <v/>
      </c>
      <c r="N119" s="10" t="str">
        <f aca="false">IF(OR(H119="",I119=""),"",IF(OR(AND(H119&gt;='검증 기준'!$B$7,H119&lt;=I119-'검증 기준'!$B$8),C119="고"),"통과","예비"))</f>
        <v/>
      </c>
      <c r="O119" s="10" t="str">
        <f aca="false">IF(J119="예","공급 공백",IF(OR(K119="",L119="",M119="",N119=""),"",IF(AND(K119="통과",L119="통과",N119="통과"),IF(M119="통과","패널","패널(불안정)"),IF(N119="예비","예비","제외"))))</f>
        <v/>
      </c>
    </row>
    <row r="120" customFormat="false" ht="15" hidden="false" customHeight="false" outlineLevel="0" collapsed="false">
      <c r="A120" s="10" t="str">
        <f aca="false">'템플릿 문항'!A119</f>
        <v>Q116</v>
      </c>
      <c r="B120" s="10" t="str">
        <f aca="false">'템플릿 문항'!E119</f>
        <v>{지자체} 민방위 사이버 교육 대상이 누구인가요?</v>
      </c>
      <c r="C120" s="10" t="str">
        <f aca="false">'템플릿 문항'!H119</f>
        <v>저</v>
      </c>
      <c r="D120" s="20"/>
      <c r="E120" s="20"/>
      <c r="F120" s="21"/>
      <c r="G120" s="21"/>
      <c r="H120" s="21"/>
      <c r="I120" s="21" t="n">
        <v>5</v>
      </c>
      <c r="J120" s="20"/>
      <c r="K120" s="10" t="str">
        <f aca="false">IF(OR(D120="",E120=""),"",IF(AND(D120="적합",E120="적합"),"통과","미달"))</f>
        <v/>
      </c>
      <c r="L120" s="10" t="str">
        <f aca="false">IF(F120="","",IF(F120&gt;='검증 기준'!$B$5,"통과","미달"))</f>
        <v/>
      </c>
      <c r="M120" s="10" t="str">
        <f aca="false">IF(G120="","",IF(G120&lt;='검증 기준'!$B$6,"통과","불안정"))</f>
        <v/>
      </c>
      <c r="N120" s="10" t="str">
        <f aca="false">IF(OR(H120="",I120=""),"",IF(OR(AND(H120&gt;='검증 기준'!$B$7,H120&lt;=I120-'검증 기준'!$B$8),C120="고"),"통과","예비"))</f>
        <v/>
      </c>
      <c r="O120" s="10" t="str">
        <f aca="false">IF(J120="예","공급 공백",IF(OR(K120="",L120="",M120="",N120=""),"",IF(AND(K120="통과",L120="통과",N120="통과"),IF(M120="통과","패널","패널(불안정)"),IF(N120="예비","예비","제외"))))</f>
        <v/>
      </c>
    </row>
    <row r="121" customFormat="false" ht="15" hidden="false" customHeight="false" outlineLevel="0" collapsed="false">
      <c r="A121" s="10" t="str">
        <f aca="false">'템플릿 문항'!A120</f>
        <v>Q117</v>
      </c>
      <c r="B121" s="10" t="str">
        <f aca="false">'템플릿 문항'!E120</f>
        <v>{지자체} 풍수해보험 가입 지원이 있나요?</v>
      </c>
      <c r="C121" s="10" t="str">
        <f aca="false">'템플릿 문항'!H120</f>
        <v>중</v>
      </c>
      <c r="D121" s="20"/>
      <c r="E121" s="20"/>
      <c r="F121" s="21"/>
      <c r="G121" s="21"/>
      <c r="H121" s="21"/>
      <c r="I121" s="21" t="n">
        <v>5</v>
      </c>
      <c r="J121" s="20"/>
      <c r="K121" s="10" t="str">
        <f aca="false">IF(OR(D121="",E121=""),"",IF(AND(D121="적합",E121="적합"),"통과","미달"))</f>
        <v/>
      </c>
      <c r="L121" s="10" t="str">
        <f aca="false">IF(F121="","",IF(F121&gt;='검증 기준'!$B$5,"통과","미달"))</f>
        <v/>
      </c>
      <c r="M121" s="10" t="str">
        <f aca="false">IF(G121="","",IF(G121&lt;='검증 기준'!$B$6,"통과","불안정"))</f>
        <v/>
      </c>
      <c r="N121" s="10" t="str">
        <f aca="false">IF(OR(H121="",I121=""),"",IF(OR(AND(H121&gt;='검증 기준'!$B$7,H121&lt;=I121-'검증 기준'!$B$8),C121="고"),"통과","예비"))</f>
        <v/>
      </c>
      <c r="O121" s="10" t="str">
        <f aca="false">IF(J121="예","공급 공백",IF(OR(K121="",L121="",M121="",N121=""),"",IF(AND(K121="통과",L121="통과",N121="통과"),IF(M121="통과","패널","패널(불안정)"),IF(N121="예비","예비","제외"))))</f>
        <v/>
      </c>
    </row>
    <row r="122" customFormat="false" ht="15" hidden="false" customHeight="false" outlineLevel="0" collapsed="false">
      <c r="A122" s="10" t="str">
        <f aca="false">'템플릿 문항'!A121</f>
        <v>Q118</v>
      </c>
      <c r="B122" s="10" t="str">
        <f aca="false">'템플릿 문항'!E121</f>
        <v>{지자체} 시민안전보험 보장 내용이 뭔가요?</v>
      </c>
      <c r="C122" s="10" t="str">
        <f aca="false">'템플릿 문항'!H121</f>
        <v>중</v>
      </c>
      <c r="D122" s="20"/>
      <c r="E122" s="20"/>
      <c r="F122" s="21"/>
      <c r="G122" s="21"/>
      <c r="H122" s="21"/>
      <c r="I122" s="21" t="n">
        <v>5</v>
      </c>
      <c r="J122" s="20"/>
      <c r="K122" s="10" t="str">
        <f aca="false">IF(OR(D122="",E122=""),"",IF(AND(D122="적합",E122="적합"),"통과","미달"))</f>
        <v/>
      </c>
      <c r="L122" s="10" t="str">
        <f aca="false">IF(F122="","",IF(F122&gt;='검증 기준'!$B$5,"통과","미달"))</f>
        <v/>
      </c>
      <c r="M122" s="10" t="str">
        <f aca="false">IF(G122="","",IF(G122&lt;='검증 기준'!$B$6,"통과","불안정"))</f>
        <v/>
      </c>
      <c r="N122" s="10" t="str">
        <f aca="false">IF(OR(H122="",I122=""),"",IF(OR(AND(H122&gt;='검증 기준'!$B$7,H122&lt;=I122-'검증 기준'!$B$8),C122="고"),"통과","예비"))</f>
        <v/>
      </c>
      <c r="O122" s="10" t="str">
        <f aca="false">IF(J122="예","공급 공백",IF(OR(K122="",L122="",M122="",N122=""),"",IF(AND(K122="통과",L122="통과",N122="통과"),IF(M122="통과","패널","패널(불안정)"),IF(N122="예비","예비","제외"))))</f>
        <v/>
      </c>
    </row>
    <row r="123" customFormat="false" ht="15" hidden="false" customHeight="false" outlineLevel="0" collapsed="false">
      <c r="A123" s="10" t="str">
        <f aca="false">'템플릿 문항'!A122</f>
        <v>Q119</v>
      </c>
      <c r="B123" s="10" t="str">
        <f aca="false">'템플릿 문항'!E122</f>
        <v>{지자체} 시민안전보험 청구는 어떻게 하나요?</v>
      </c>
      <c r="C123" s="10" t="str">
        <f aca="false">'템플릿 문항'!H122</f>
        <v>중</v>
      </c>
      <c r="D123" s="20"/>
      <c r="E123" s="20"/>
      <c r="F123" s="21"/>
      <c r="G123" s="21"/>
      <c r="H123" s="21"/>
      <c r="I123" s="21" t="n">
        <v>5</v>
      </c>
      <c r="J123" s="20"/>
      <c r="K123" s="10" t="str">
        <f aca="false">IF(OR(D123="",E123=""),"",IF(AND(D123="적합",E123="적합"),"통과","미달"))</f>
        <v/>
      </c>
      <c r="L123" s="10" t="str">
        <f aca="false">IF(F123="","",IF(F123&gt;='검증 기준'!$B$5,"통과","미달"))</f>
        <v/>
      </c>
      <c r="M123" s="10" t="str">
        <f aca="false">IF(G123="","",IF(G123&lt;='검증 기준'!$B$6,"통과","불안정"))</f>
        <v/>
      </c>
      <c r="N123" s="10" t="str">
        <f aca="false">IF(OR(H123="",I123=""),"",IF(OR(AND(H123&gt;='검증 기준'!$B$7,H123&lt;=I123-'검증 기준'!$B$8),C123="고"),"통과","예비"))</f>
        <v/>
      </c>
      <c r="O123" s="10" t="str">
        <f aca="false">IF(J123="예","공급 공백",IF(OR(K123="",L123="",M123="",N123=""),"",IF(AND(K123="통과",L123="통과",N123="통과"),IF(M123="통과","패널","패널(불안정)"),IF(N123="예비","예비","제외"))))</f>
        <v/>
      </c>
    </row>
    <row r="124" customFormat="false" ht="15" hidden="false" customHeight="false" outlineLevel="0" collapsed="false">
      <c r="A124" s="10" t="str">
        <f aca="false">'템플릿 문항'!A123</f>
        <v>Q120</v>
      </c>
      <c r="B124" s="10" t="str">
        <f aca="false">'템플릿 문항'!E123</f>
        <v>{지자체} 시민안전보험 보상 한도가 얼마인가요?</v>
      </c>
      <c r="C124" s="10" t="str">
        <f aca="false">'템플릿 문항'!H123</f>
        <v>중</v>
      </c>
      <c r="D124" s="20"/>
      <c r="E124" s="20"/>
      <c r="F124" s="21"/>
      <c r="G124" s="21"/>
      <c r="H124" s="21"/>
      <c r="I124" s="21" t="n">
        <v>5</v>
      </c>
      <c r="J124" s="20"/>
      <c r="K124" s="10" t="str">
        <f aca="false">IF(OR(D124="",E124=""),"",IF(AND(D124="적합",E124="적합"),"통과","미달"))</f>
        <v/>
      </c>
      <c r="L124" s="10" t="str">
        <f aca="false">IF(F124="","",IF(F124&gt;='검증 기준'!$B$5,"통과","미달"))</f>
        <v/>
      </c>
      <c r="M124" s="10" t="str">
        <f aca="false">IF(G124="","",IF(G124&lt;='검증 기준'!$B$6,"통과","불안정"))</f>
        <v/>
      </c>
      <c r="N124" s="10" t="str">
        <f aca="false">IF(OR(H124="",I124=""),"",IF(OR(AND(H124&gt;='검증 기준'!$B$7,H124&lt;=I124-'검증 기준'!$B$8),C124="고"),"통과","예비"))</f>
        <v/>
      </c>
      <c r="O124" s="10" t="str">
        <f aca="false">IF(J124="예","공급 공백",IF(OR(K124="",L124="",M124="",N124=""),"",IF(AND(K124="통과",L124="통과",N124="통과"),IF(M124="통과","패널","패널(불안정)"),IF(N124="예비","예비","제외"))))</f>
        <v/>
      </c>
    </row>
    <row r="125" customFormat="false" ht="15" hidden="false" customHeight="false" outlineLevel="0" collapsed="false">
      <c r="A125" s="10" t="str">
        <f aca="false">'템플릿 문항'!A124</f>
        <v>Q121</v>
      </c>
      <c r="B125" s="10" t="str">
        <f aca="false">'템플릿 문항'!E124</f>
        <v>{지자체} {신고종류} 신고는 어디에 하나요?</v>
      </c>
      <c r="C125" s="10" t="str">
        <f aca="false">'템플릿 문항'!H124</f>
        <v>중</v>
      </c>
      <c r="D125" s="20"/>
      <c r="E125" s="20"/>
      <c r="F125" s="21"/>
      <c r="G125" s="21"/>
      <c r="H125" s="21"/>
      <c r="I125" s="21" t="n">
        <v>5</v>
      </c>
      <c r="J125" s="20"/>
      <c r="K125" s="10" t="str">
        <f aca="false">IF(OR(D125="",E125=""),"",IF(AND(D125="적합",E125="적합"),"통과","미달"))</f>
        <v/>
      </c>
      <c r="L125" s="10" t="str">
        <f aca="false">IF(F125="","",IF(F125&gt;='검증 기준'!$B$5,"통과","미달"))</f>
        <v/>
      </c>
      <c r="M125" s="10" t="str">
        <f aca="false">IF(G125="","",IF(G125&lt;='검증 기준'!$B$6,"통과","불안정"))</f>
        <v/>
      </c>
      <c r="N125" s="10" t="str">
        <f aca="false">IF(OR(H125="",I125=""),"",IF(OR(AND(H125&gt;='검증 기준'!$B$7,H125&lt;=I125-'검증 기준'!$B$8),C125="고"),"통과","예비"))</f>
        <v/>
      </c>
      <c r="O125" s="10" t="str">
        <f aca="false">IF(J125="예","공급 공백",IF(OR(K125="",L125="",M125="",N125=""),"",IF(AND(K125="통과",L125="통과",N125="통과"),IF(M125="통과","패널","패널(불안정)"),IF(N125="예비","예비","제외"))))</f>
        <v/>
      </c>
    </row>
    <row r="126" customFormat="false" ht="15" hidden="false" customHeight="false" outlineLevel="0" collapsed="false">
      <c r="A126" s="10" t="str">
        <f aca="false">'템플릿 문항'!A125</f>
        <v>Q122</v>
      </c>
      <c r="B126" s="10" t="str">
        <f aca="false">'템플릿 문항'!E125</f>
        <v>{지자체} 안전신문고 신고 처리 기간이 얼마나 되나요?</v>
      </c>
      <c r="C126" s="10" t="str">
        <f aca="false">'템플릿 문항'!H125</f>
        <v>중</v>
      </c>
      <c r="D126" s="20"/>
      <c r="E126" s="20"/>
      <c r="F126" s="21"/>
      <c r="G126" s="21"/>
      <c r="H126" s="21"/>
      <c r="I126" s="21" t="n">
        <v>5</v>
      </c>
      <c r="J126" s="20"/>
      <c r="K126" s="10" t="str">
        <f aca="false">IF(OR(D126="",E126=""),"",IF(AND(D126="적합",E126="적합"),"통과","미달"))</f>
        <v/>
      </c>
      <c r="L126" s="10" t="str">
        <f aca="false">IF(F126="","",IF(F126&gt;='검증 기준'!$B$5,"통과","미달"))</f>
        <v/>
      </c>
      <c r="M126" s="10" t="str">
        <f aca="false">IF(G126="","",IF(G126&lt;='검증 기준'!$B$6,"통과","불안정"))</f>
        <v/>
      </c>
      <c r="N126" s="10" t="str">
        <f aca="false">IF(OR(H126="",I126=""),"",IF(OR(AND(H126&gt;='검증 기준'!$B$7,H126&lt;=I126-'검증 기준'!$B$8),C126="고"),"통과","예비"))</f>
        <v/>
      </c>
      <c r="O126" s="10" t="str">
        <f aca="false">IF(J126="예","공급 공백",IF(OR(K126="",L126="",M126="",N126=""),"",IF(AND(K126="통과",L126="통과",N126="통과"),IF(M126="통과","패널","패널(불안정)"),IF(N126="예비","예비","제외"))))</f>
        <v/>
      </c>
    </row>
    <row r="127" customFormat="false" ht="15" hidden="false" customHeight="false" outlineLevel="0" collapsed="false">
      <c r="A127" s="10" t="str">
        <f aca="false">'템플릿 문항'!A126</f>
        <v>Q123</v>
      </c>
      <c r="B127" s="10" t="str">
        <f aca="false">'템플릿 문항'!E126</f>
        <v>{지자체} 당직실 전화번호가 뭔가요?</v>
      </c>
      <c r="C127" s="10" t="str">
        <f aca="false">'템플릿 문항'!H126</f>
        <v>고</v>
      </c>
      <c r="D127" s="20"/>
      <c r="E127" s="20"/>
      <c r="F127" s="21"/>
      <c r="G127" s="21"/>
      <c r="H127" s="21"/>
      <c r="I127" s="21" t="n">
        <v>5</v>
      </c>
      <c r="J127" s="20"/>
      <c r="K127" s="10" t="str">
        <f aca="false">IF(OR(D127="",E127=""),"",IF(AND(D127="적합",E127="적합"),"통과","미달"))</f>
        <v/>
      </c>
      <c r="L127" s="10" t="str">
        <f aca="false">IF(F127="","",IF(F127&gt;='검증 기준'!$B$5,"통과","미달"))</f>
        <v/>
      </c>
      <c r="M127" s="10" t="str">
        <f aca="false">IF(G127="","",IF(G127&lt;='검증 기준'!$B$6,"통과","불안정"))</f>
        <v/>
      </c>
      <c r="N127" s="10" t="str">
        <f aca="false">IF(OR(H127="",I127=""),"",IF(OR(AND(H127&gt;='검증 기준'!$B$7,H127&lt;=I127-'검증 기준'!$B$8),C127="고"),"통과","예비"))</f>
        <v/>
      </c>
      <c r="O127" s="10" t="str">
        <f aca="false">IF(J127="예","공급 공백",IF(OR(K127="",L127="",M127="",N127=""),"",IF(AND(K127="통과",L127="통과",N127="통과"),IF(M127="통과","패널","패널(불안정)"),IF(N127="예비","예비","제외"))))</f>
        <v/>
      </c>
    </row>
    <row r="128" customFormat="false" ht="15" hidden="false" customHeight="false" outlineLevel="0" collapsed="false">
      <c r="A128" s="10" t="str">
        <f aca="false">'템플릿 문항'!A127</f>
        <v>Q124</v>
      </c>
      <c r="B128" s="10" t="str">
        <f aca="false">'템플릿 문항'!E127</f>
        <v>{지자체} 층간소음 상담은 어디에 하나요?</v>
      </c>
      <c r="C128" s="10" t="str">
        <f aca="false">'템플릿 문항'!H127</f>
        <v>중</v>
      </c>
      <c r="D128" s="20"/>
      <c r="E128" s="20"/>
      <c r="F128" s="21"/>
      <c r="G128" s="21"/>
      <c r="H128" s="21"/>
      <c r="I128" s="21" t="n">
        <v>5</v>
      </c>
      <c r="J128" s="20"/>
      <c r="K128" s="10" t="str">
        <f aca="false">IF(OR(D128="",E128=""),"",IF(AND(D128="적합",E128="적합"),"통과","미달"))</f>
        <v/>
      </c>
      <c r="L128" s="10" t="str">
        <f aca="false">IF(F128="","",IF(F128&gt;='검증 기준'!$B$5,"통과","미달"))</f>
        <v/>
      </c>
      <c r="M128" s="10" t="str">
        <f aca="false">IF(G128="","",IF(G128&lt;='검증 기준'!$B$6,"통과","불안정"))</f>
        <v/>
      </c>
      <c r="N128" s="10" t="str">
        <f aca="false">IF(OR(H128="",I128=""),"",IF(OR(AND(H128&gt;='검증 기준'!$B$7,H128&lt;=I128-'검증 기준'!$B$8),C128="고"),"통과","예비"))</f>
        <v/>
      </c>
      <c r="O128" s="10" t="str">
        <f aca="false">IF(J128="예","공급 공백",IF(OR(K128="",L128="",M128="",N128=""),"",IF(AND(K128="통과",L128="통과",N128="통과"),IF(M128="통과","패널","패널(불안정)"),IF(N128="예비","예비","제외"))))</f>
        <v/>
      </c>
    </row>
    <row r="129" customFormat="false" ht="15" hidden="false" customHeight="false" outlineLevel="0" collapsed="false">
      <c r="A129" s="10" t="str">
        <f aca="false">'템플릿 문항'!A128</f>
        <v>Q125</v>
      </c>
      <c r="B129" s="10" t="str">
        <f aca="false">'템플릿 문항'!E128</f>
        <v>{지자체} 어린이집 입소 대기 신청은 어떻게 하나요?</v>
      </c>
      <c r="C129" s="10" t="str">
        <f aca="false">'템플릿 문항'!H128</f>
        <v>중</v>
      </c>
      <c r="D129" s="20"/>
      <c r="E129" s="20"/>
      <c r="F129" s="21"/>
      <c r="G129" s="21"/>
      <c r="H129" s="21"/>
      <c r="I129" s="21" t="n">
        <v>5</v>
      </c>
      <c r="J129" s="20"/>
      <c r="K129" s="10" t="str">
        <f aca="false">IF(OR(D129="",E129=""),"",IF(AND(D129="적합",E129="적합"),"통과","미달"))</f>
        <v/>
      </c>
      <c r="L129" s="10" t="str">
        <f aca="false">IF(F129="","",IF(F129&gt;='검증 기준'!$B$5,"통과","미달"))</f>
        <v/>
      </c>
      <c r="M129" s="10" t="str">
        <f aca="false">IF(G129="","",IF(G129&lt;='검증 기준'!$B$6,"통과","불안정"))</f>
        <v/>
      </c>
      <c r="N129" s="10" t="str">
        <f aca="false">IF(OR(H129="",I129=""),"",IF(OR(AND(H129&gt;='검증 기준'!$B$7,H129&lt;=I129-'검증 기준'!$B$8),C129="고"),"통과","예비"))</f>
        <v/>
      </c>
      <c r="O129" s="10" t="str">
        <f aca="false">IF(J129="예","공급 공백",IF(OR(K129="",L129="",M129="",N129=""),"",IF(AND(K129="통과",L129="통과",N129="통과"),IF(M129="통과","패널","패널(불안정)"),IF(N129="예비","예비","제외"))))</f>
        <v/>
      </c>
    </row>
    <row r="130" customFormat="false" ht="15" hidden="false" customHeight="false" outlineLevel="0" collapsed="false">
      <c r="A130" s="10" t="str">
        <f aca="false">'템플릿 문항'!A129</f>
        <v>Q126</v>
      </c>
      <c r="B130" s="10" t="str">
        <f aca="false">'템플릿 문항'!E129</f>
        <v>{지자체} 국공립 어린이집은 몇 곳인가요?</v>
      </c>
      <c r="C130" s="10" t="str">
        <f aca="false">'템플릿 문항'!H129</f>
        <v>저</v>
      </c>
      <c r="D130" s="20"/>
      <c r="E130" s="20"/>
      <c r="F130" s="21"/>
      <c r="G130" s="21"/>
      <c r="H130" s="21"/>
      <c r="I130" s="21" t="n">
        <v>5</v>
      </c>
      <c r="J130" s="20"/>
      <c r="K130" s="10" t="str">
        <f aca="false">IF(OR(D130="",E130=""),"",IF(AND(D130="적합",E130="적합"),"통과","미달"))</f>
        <v/>
      </c>
      <c r="L130" s="10" t="str">
        <f aca="false">IF(F130="","",IF(F130&gt;='검증 기준'!$B$5,"통과","미달"))</f>
        <v/>
      </c>
      <c r="M130" s="10" t="str">
        <f aca="false">IF(G130="","",IF(G130&lt;='검증 기준'!$B$6,"통과","불안정"))</f>
        <v/>
      </c>
      <c r="N130" s="10" t="str">
        <f aca="false">IF(OR(H130="",I130=""),"",IF(OR(AND(H130&gt;='검증 기준'!$B$7,H130&lt;=I130-'검증 기준'!$B$8),C130="고"),"통과","예비"))</f>
        <v/>
      </c>
      <c r="O130" s="10" t="str">
        <f aca="false">IF(J130="예","공급 공백",IF(OR(K130="",L130="",M130="",N130=""),"",IF(AND(K130="통과",L130="통과",N130="통과"),IF(M130="통과","패널","패널(불안정)"),IF(N130="예비","예비","제외"))))</f>
        <v/>
      </c>
    </row>
    <row r="131" customFormat="false" ht="15" hidden="false" customHeight="false" outlineLevel="0" collapsed="false">
      <c r="A131" s="10" t="str">
        <f aca="false">'템플릿 문항'!A130</f>
        <v>Q127</v>
      </c>
      <c r="B131" s="10" t="str">
        <f aca="false">'템플릿 문항'!E130</f>
        <v>{지자체} 어린이집 입소 우선순위가 어떻게 되나요?</v>
      </c>
      <c r="C131" s="10" t="str">
        <f aca="false">'템플릿 문항'!H130</f>
        <v>중</v>
      </c>
      <c r="D131" s="20"/>
      <c r="E131" s="20"/>
      <c r="F131" s="21"/>
      <c r="G131" s="21"/>
      <c r="H131" s="21"/>
      <c r="I131" s="21" t="n">
        <v>5</v>
      </c>
      <c r="J131" s="20"/>
      <c r="K131" s="10" t="str">
        <f aca="false">IF(OR(D131="",E131=""),"",IF(AND(D131="적합",E131="적합"),"통과","미달"))</f>
        <v/>
      </c>
      <c r="L131" s="10" t="str">
        <f aca="false">IF(F131="","",IF(F131&gt;='검증 기준'!$B$5,"통과","미달"))</f>
        <v/>
      </c>
      <c r="M131" s="10" t="str">
        <f aca="false">IF(G131="","",IF(G131&lt;='검증 기준'!$B$6,"통과","불안정"))</f>
        <v/>
      </c>
      <c r="N131" s="10" t="str">
        <f aca="false">IF(OR(H131="",I131=""),"",IF(OR(AND(H131&gt;='검증 기준'!$B$7,H131&lt;=I131-'검증 기준'!$B$8),C131="고"),"통과","예비"))</f>
        <v/>
      </c>
      <c r="O131" s="10" t="str">
        <f aca="false">IF(J131="예","공급 공백",IF(OR(K131="",L131="",M131="",N131=""),"",IF(AND(K131="통과",L131="통과",N131="통과"),IF(M131="통과","패널","패널(불안정)"),IF(N131="예비","예비","제외"))))</f>
        <v/>
      </c>
    </row>
    <row r="132" customFormat="false" ht="15" hidden="false" customHeight="false" outlineLevel="0" collapsed="false">
      <c r="A132" s="10" t="str">
        <f aca="false">'템플릿 문항'!A131</f>
        <v>Q128</v>
      </c>
      <c r="B132" s="10" t="str">
        <f aca="false">'템플릿 문항'!E131</f>
        <v>{지자체} 보육 담당 부서 전화번호 알려주세요</v>
      </c>
      <c r="C132" s="10" t="str">
        <f aca="false">'템플릿 문항'!H131</f>
        <v>중</v>
      </c>
      <c r="D132" s="20"/>
      <c r="E132" s="20"/>
      <c r="F132" s="21"/>
      <c r="G132" s="21"/>
      <c r="H132" s="21"/>
      <c r="I132" s="21" t="n">
        <v>5</v>
      </c>
      <c r="J132" s="20"/>
      <c r="K132" s="10" t="str">
        <f aca="false">IF(OR(D132="",E132=""),"",IF(AND(D132="적합",E132="적합"),"통과","미달"))</f>
        <v/>
      </c>
      <c r="L132" s="10" t="str">
        <f aca="false">IF(F132="","",IF(F132&gt;='검증 기준'!$B$5,"통과","미달"))</f>
        <v/>
      </c>
      <c r="M132" s="10" t="str">
        <f aca="false">IF(G132="","",IF(G132&lt;='검증 기준'!$B$6,"통과","불안정"))</f>
        <v/>
      </c>
      <c r="N132" s="10" t="str">
        <f aca="false">IF(OR(H132="",I132=""),"",IF(OR(AND(H132&gt;='검증 기준'!$B$7,H132&lt;=I132-'검증 기준'!$B$8),C132="고"),"통과","예비"))</f>
        <v/>
      </c>
      <c r="O132" s="10" t="str">
        <f aca="false">IF(J132="예","공급 공백",IF(OR(K132="",L132="",M132="",N132=""),"",IF(AND(K132="통과",L132="통과",N132="통과"),IF(M132="통과","패널","패널(불안정)"),IF(N132="예비","예비","제외"))))</f>
        <v/>
      </c>
    </row>
    <row r="133" customFormat="false" ht="15" hidden="false" customHeight="false" outlineLevel="0" collapsed="false">
      <c r="A133" s="10" t="str">
        <f aca="false">'템플릿 문항'!A132</f>
        <v>Q129</v>
      </c>
      <c r="B133" s="10" t="str">
        <f aca="false">'템플릿 문항'!E132</f>
        <v>{지자체} 육아종합지원센터는 어디에 있나요?</v>
      </c>
      <c r="C133" s="10" t="str">
        <f aca="false">'템플릿 문항'!H132</f>
        <v>중</v>
      </c>
      <c r="D133" s="20"/>
      <c r="E133" s="20"/>
      <c r="F133" s="21"/>
      <c r="G133" s="21"/>
      <c r="H133" s="21"/>
      <c r="I133" s="21" t="n">
        <v>5</v>
      </c>
      <c r="J133" s="20"/>
      <c r="K133" s="10" t="str">
        <f aca="false">IF(OR(D133="",E133=""),"",IF(AND(D133="적합",E133="적합"),"통과","미달"))</f>
        <v/>
      </c>
      <c r="L133" s="10" t="str">
        <f aca="false">IF(F133="","",IF(F133&gt;='검증 기준'!$B$5,"통과","미달"))</f>
        <v/>
      </c>
      <c r="M133" s="10" t="str">
        <f aca="false">IF(G133="","",IF(G133&lt;='검증 기준'!$B$6,"통과","불안정"))</f>
        <v/>
      </c>
      <c r="N133" s="10" t="str">
        <f aca="false">IF(OR(H133="",I133=""),"",IF(OR(AND(H133&gt;='검증 기준'!$B$7,H133&lt;=I133-'검증 기준'!$B$8),C133="고"),"통과","예비"))</f>
        <v/>
      </c>
      <c r="O133" s="10" t="str">
        <f aca="false">IF(J133="예","공급 공백",IF(OR(K133="",L133="",M133="",N133=""),"",IF(AND(K133="통과",L133="통과",N133="통과"),IF(M133="통과","패널","패널(불안정)"),IF(N133="예비","예비","제외"))))</f>
        <v/>
      </c>
    </row>
    <row r="134" customFormat="false" ht="15" hidden="false" customHeight="false" outlineLevel="0" collapsed="false">
      <c r="A134" s="10" t="str">
        <f aca="false">'템플릿 문항'!A133</f>
        <v>Q130</v>
      </c>
      <c r="B134" s="10" t="str">
        <f aca="false">'템플릿 문항'!E133</f>
        <v>{지자체} 장난감 도서관 대여 방법이 뭔가요?</v>
      </c>
      <c r="C134" s="10" t="str">
        <f aca="false">'템플릿 문항'!H133</f>
        <v>저</v>
      </c>
      <c r="D134" s="20"/>
      <c r="E134" s="20"/>
      <c r="F134" s="21"/>
      <c r="G134" s="21"/>
      <c r="H134" s="21"/>
      <c r="I134" s="21" t="n">
        <v>5</v>
      </c>
      <c r="J134" s="20"/>
      <c r="K134" s="10" t="str">
        <f aca="false">IF(OR(D134="",E134=""),"",IF(AND(D134="적합",E134="적합"),"통과","미달"))</f>
        <v/>
      </c>
      <c r="L134" s="10" t="str">
        <f aca="false">IF(F134="","",IF(F134&gt;='검증 기준'!$B$5,"통과","미달"))</f>
        <v/>
      </c>
      <c r="M134" s="10" t="str">
        <f aca="false">IF(G134="","",IF(G134&lt;='검증 기준'!$B$6,"통과","불안정"))</f>
        <v/>
      </c>
      <c r="N134" s="10" t="str">
        <f aca="false">IF(OR(H134="",I134=""),"",IF(OR(AND(H134&gt;='검증 기준'!$B$7,H134&lt;=I134-'검증 기준'!$B$8),C134="고"),"통과","예비"))</f>
        <v/>
      </c>
      <c r="O134" s="10" t="str">
        <f aca="false">IF(J134="예","공급 공백",IF(OR(K134="",L134="",M134="",N134=""),"",IF(AND(K134="통과",L134="통과",N134="통과"),IF(M134="통과","패널","패널(불안정)"),IF(N134="예비","예비","제외"))))</f>
        <v/>
      </c>
    </row>
    <row r="135" customFormat="false" ht="15" hidden="false" customHeight="false" outlineLevel="0" collapsed="false">
      <c r="A135" s="10" t="str">
        <f aca="false">'템플릿 문항'!A134</f>
        <v>Q131</v>
      </c>
      <c r="B135" s="10" t="str">
        <f aca="false">'템플릿 문항'!E134</f>
        <v>{지자체} 육아종합지원센터 운영 시간이 언제인가요?</v>
      </c>
      <c r="C135" s="10" t="str">
        <f aca="false">'템플릿 문항'!H134</f>
        <v>중</v>
      </c>
      <c r="D135" s="20"/>
      <c r="E135" s="20"/>
      <c r="F135" s="21"/>
      <c r="G135" s="21"/>
      <c r="H135" s="21"/>
      <c r="I135" s="21" t="n">
        <v>5</v>
      </c>
      <c r="J135" s="20"/>
      <c r="K135" s="10" t="str">
        <f aca="false">IF(OR(D135="",E135=""),"",IF(AND(D135="적합",E135="적합"),"통과","미달"))</f>
        <v/>
      </c>
      <c r="L135" s="10" t="str">
        <f aca="false">IF(F135="","",IF(F135&gt;='검증 기준'!$B$5,"통과","미달"))</f>
        <v/>
      </c>
      <c r="M135" s="10" t="str">
        <f aca="false">IF(G135="","",IF(G135&lt;='검증 기준'!$B$6,"통과","불안정"))</f>
        <v/>
      </c>
      <c r="N135" s="10" t="str">
        <f aca="false">IF(OR(H135="",I135=""),"",IF(OR(AND(H135&gt;='검증 기준'!$B$7,H135&lt;=I135-'검증 기준'!$B$8),C135="고"),"통과","예비"))</f>
        <v/>
      </c>
      <c r="O135" s="10" t="str">
        <f aca="false">IF(J135="예","공급 공백",IF(OR(K135="",L135="",M135="",N135=""),"",IF(AND(K135="통과",L135="통과",N135="통과"),IF(M135="통과","패널","패널(불안정)"),IF(N135="예비","예비","제외"))))</f>
        <v/>
      </c>
    </row>
    <row r="136" customFormat="false" ht="15" hidden="false" customHeight="false" outlineLevel="0" collapsed="false">
      <c r="A136" s="10" t="str">
        <f aca="false">'템플릿 문항'!A135</f>
        <v>Q132</v>
      </c>
      <c r="B136" s="10" t="str">
        <f aca="false">'템플릿 문항'!E135</f>
        <v>{지자체} 아이돌봄 서비스 신청은 어디서 하나요?</v>
      </c>
      <c r="C136" s="10" t="str">
        <f aca="false">'템플릿 문항'!H135</f>
        <v>중</v>
      </c>
      <c r="D136" s="20"/>
      <c r="E136" s="20"/>
      <c r="F136" s="21"/>
      <c r="G136" s="21"/>
      <c r="H136" s="21"/>
      <c r="I136" s="21" t="n">
        <v>5</v>
      </c>
      <c r="J136" s="20"/>
      <c r="K136" s="10" t="str">
        <f aca="false">IF(OR(D136="",E136=""),"",IF(AND(D136="적합",E136="적합"),"통과","미달"))</f>
        <v/>
      </c>
      <c r="L136" s="10" t="str">
        <f aca="false">IF(F136="","",IF(F136&gt;='검증 기준'!$B$5,"통과","미달"))</f>
        <v/>
      </c>
      <c r="M136" s="10" t="str">
        <f aca="false">IF(G136="","",IF(G136&lt;='검증 기준'!$B$6,"통과","불안정"))</f>
        <v/>
      </c>
      <c r="N136" s="10" t="str">
        <f aca="false">IF(OR(H136="",I136=""),"",IF(OR(AND(H136&gt;='검증 기준'!$B$7,H136&lt;=I136-'검증 기준'!$B$8),C136="고"),"통과","예비"))</f>
        <v/>
      </c>
      <c r="O136" s="10" t="str">
        <f aca="false">IF(J136="예","공급 공백",IF(OR(K136="",L136="",M136="",N136=""),"",IF(AND(K136="통과",L136="통과",N136="통과"),IF(M136="통과","패널","패널(불안정)"),IF(N136="예비","예비","제외"))))</f>
        <v/>
      </c>
    </row>
    <row r="137" customFormat="false" ht="15" hidden="false" customHeight="false" outlineLevel="0" collapsed="false">
      <c r="A137" s="10" t="str">
        <f aca="false">'템플릿 문항'!A136</f>
        <v>Q133</v>
      </c>
      <c r="B137" s="10" t="str">
        <f aca="false">'템플릿 문항'!E136</f>
        <v>{지자체} 평생학습관 수강 신청은 언제 하나요?</v>
      </c>
      <c r="C137" s="10" t="str">
        <f aca="false">'템플릿 문항'!H136</f>
        <v>저</v>
      </c>
      <c r="D137" s="20"/>
      <c r="E137" s="20"/>
      <c r="F137" s="21"/>
      <c r="G137" s="21"/>
      <c r="H137" s="21"/>
      <c r="I137" s="21" t="n">
        <v>5</v>
      </c>
      <c r="J137" s="20"/>
      <c r="K137" s="10" t="str">
        <f aca="false">IF(OR(D137="",E137=""),"",IF(AND(D137="적합",E137="적합"),"통과","미달"))</f>
        <v/>
      </c>
      <c r="L137" s="10" t="str">
        <f aca="false">IF(F137="","",IF(F137&gt;='검증 기준'!$B$5,"통과","미달"))</f>
        <v/>
      </c>
      <c r="M137" s="10" t="str">
        <f aca="false">IF(G137="","",IF(G137&lt;='검증 기준'!$B$6,"통과","불안정"))</f>
        <v/>
      </c>
      <c r="N137" s="10" t="str">
        <f aca="false">IF(OR(H137="",I137=""),"",IF(OR(AND(H137&gt;='검증 기준'!$B$7,H137&lt;=I137-'검증 기준'!$B$8),C137="고"),"통과","예비"))</f>
        <v/>
      </c>
      <c r="O137" s="10" t="str">
        <f aca="false">IF(J137="예","공급 공백",IF(OR(K137="",L137="",M137="",N137=""),"",IF(AND(K137="통과",L137="통과",N137="통과"),IF(M137="통과","패널","패널(불안정)"),IF(N137="예비","예비","제외"))))</f>
        <v/>
      </c>
    </row>
    <row r="138" customFormat="false" ht="15" hidden="false" customHeight="false" outlineLevel="0" collapsed="false">
      <c r="A138" s="10" t="str">
        <f aca="false">'템플릿 문항'!A137</f>
        <v>Q134</v>
      </c>
      <c r="B138" s="10" t="str">
        <f aca="false">'템플릿 문항'!E137</f>
        <v>{지자체} 청소년수련관은 어디에 있나요?</v>
      </c>
      <c r="C138" s="10" t="str">
        <f aca="false">'템플릿 문항'!H137</f>
        <v>저</v>
      </c>
      <c r="D138" s="20"/>
      <c r="E138" s="20"/>
      <c r="F138" s="21"/>
      <c r="G138" s="21"/>
      <c r="H138" s="21"/>
      <c r="I138" s="21" t="n">
        <v>5</v>
      </c>
      <c r="J138" s="20"/>
      <c r="K138" s="10" t="str">
        <f aca="false">IF(OR(D138="",E138=""),"",IF(AND(D138="적합",E138="적합"),"통과","미달"))</f>
        <v/>
      </c>
      <c r="L138" s="10" t="str">
        <f aca="false">IF(F138="","",IF(F138&gt;='검증 기준'!$B$5,"통과","미달"))</f>
        <v/>
      </c>
      <c r="M138" s="10" t="str">
        <f aca="false">IF(G138="","",IF(G138&lt;='검증 기준'!$B$6,"통과","불안정"))</f>
        <v/>
      </c>
      <c r="N138" s="10" t="str">
        <f aca="false">IF(OR(H138="",I138=""),"",IF(OR(AND(H138&gt;='검증 기준'!$B$7,H138&lt;=I138-'검증 기준'!$B$8),C138="고"),"통과","예비"))</f>
        <v/>
      </c>
      <c r="O138" s="10" t="str">
        <f aca="false">IF(J138="예","공급 공백",IF(OR(K138="",L138="",M138="",N138=""),"",IF(AND(K138="통과",L138="통과",N138="통과"),IF(M138="통과","패널","패널(불안정)"),IF(N138="예비","예비","제외"))))</f>
        <v/>
      </c>
    </row>
    <row r="139" customFormat="false" ht="15" hidden="false" customHeight="false" outlineLevel="0" collapsed="false">
      <c r="A139" s="10" t="str">
        <f aca="false">'템플릿 문항'!A138</f>
        <v>Q135</v>
      </c>
      <c r="B139" s="10" t="str">
        <f aca="false">'템플릿 문항'!E138</f>
        <v>{지자체} 평생학습 강좌 수강료가 얼마인가요?</v>
      </c>
      <c r="C139" s="10" t="str">
        <f aca="false">'템플릿 문항'!H138</f>
        <v>저</v>
      </c>
      <c r="D139" s="20"/>
      <c r="E139" s="20"/>
      <c r="F139" s="21"/>
      <c r="G139" s="21"/>
      <c r="H139" s="21"/>
      <c r="I139" s="21" t="n">
        <v>5</v>
      </c>
      <c r="J139" s="20"/>
      <c r="K139" s="10" t="str">
        <f aca="false">IF(OR(D139="",E139=""),"",IF(AND(D139="적합",E139="적합"),"통과","미달"))</f>
        <v/>
      </c>
      <c r="L139" s="10" t="str">
        <f aca="false">IF(F139="","",IF(F139&gt;='검증 기준'!$B$5,"통과","미달"))</f>
        <v/>
      </c>
      <c r="M139" s="10" t="str">
        <f aca="false">IF(G139="","",IF(G139&lt;='검증 기준'!$B$6,"통과","불안정"))</f>
        <v/>
      </c>
      <c r="N139" s="10" t="str">
        <f aca="false">IF(OR(H139="",I139=""),"",IF(OR(AND(H139&gt;='검증 기준'!$B$7,H139&lt;=I139-'검증 기준'!$B$8),C139="고"),"통과","예비"))</f>
        <v/>
      </c>
      <c r="O139" s="10" t="str">
        <f aca="false">IF(J139="예","공급 공백",IF(OR(K139="",L139="",M139="",N139=""),"",IF(AND(K139="통과",L139="통과",N139="통과"),IF(M139="통과","패널","패널(불안정)"),IF(N139="예비","예비","제외"))))</f>
        <v/>
      </c>
    </row>
    <row r="140" customFormat="false" ht="15" hidden="false" customHeight="false" outlineLevel="0" collapsed="false">
      <c r="A140" s="10" t="str">
        <f aca="false">'템플릿 문항'!A139</f>
        <v>Q136</v>
      </c>
      <c r="B140" s="10" t="str">
        <f aca="false">'템플릿 문항'!E139</f>
        <v>{지자체} 청소년 상담 전화번호가 뭔가요?</v>
      </c>
      <c r="C140" s="10" t="str">
        <f aca="false">'템플릿 문항'!H139</f>
        <v>중</v>
      </c>
      <c r="D140" s="20"/>
      <c r="E140" s="20"/>
      <c r="F140" s="21"/>
      <c r="G140" s="21"/>
      <c r="H140" s="21"/>
      <c r="I140" s="21" t="n">
        <v>5</v>
      </c>
      <c r="J140" s="20"/>
      <c r="K140" s="10" t="str">
        <f aca="false">IF(OR(D140="",E140=""),"",IF(AND(D140="적합",E140="적합"),"통과","미달"))</f>
        <v/>
      </c>
      <c r="L140" s="10" t="str">
        <f aca="false">IF(F140="","",IF(F140&gt;='검증 기준'!$B$5,"통과","미달"))</f>
        <v/>
      </c>
      <c r="M140" s="10" t="str">
        <f aca="false">IF(G140="","",IF(G140&lt;='검증 기준'!$B$6,"통과","불안정"))</f>
        <v/>
      </c>
      <c r="N140" s="10" t="str">
        <f aca="false">IF(OR(H140="",I140=""),"",IF(OR(AND(H140&gt;='검증 기준'!$B$7,H140&lt;=I140-'검증 기준'!$B$8),C140="고"),"통과","예비"))</f>
        <v/>
      </c>
      <c r="O140" s="10" t="str">
        <f aca="false">IF(J140="예","공급 공백",IF(OR(K140="",L140="",M140="",N140=""),"",IF(AND(K140="통과",L140="통과",N140="통과"),IF(M140="통과","패널","패널(불안정)"),IF(N140="예비","예비","제외"))))</f>
        <v/>
      </c>
    </row>
    <row r="141" customFormat="false" ht="15" hidden="false" customHeight="false" outlineLevel="0" collapsed="false">
      <c r="A141" s="10" t="str">
        <f aca="false">'템플릿 문항'!A140</f>
        <v>Q137</v>
      </c>
      <c r="B141" s="10" t="str">
        <f aca="false">'템플릿 문항'!E140</f>
        <v>{지자체} 교육경비 지원 사업 대상이 뭔가요?</v>
      </c>
      <c r="C141" s="10" t="str">
        <f aca="false">'템플릿 문항'!H140</f>
        <v>중</v>
      </c>
      <c r="D141" s="20"/>
      <c r="E141" s="20"/>
      <c r="F141" s="21"/>
      <c r="G141" s="21"/>
      <c r="H141" s="21"/>
      <c r="I141" s="21" t="n">
        <v>5</v>
      </c>
      <c r="J141" s="20"/>
      <c r="K141" s="10" t="str">
        <f aca="false">IF(OR(D141="",E141=""),"",IF(AND(D141="적합",E141="적합"),"통과","미달"))</f>
        <v/>
      </c>
      <c r="L141" s="10" t="str">
        <f aca="false">IF(F141="","",IF(F141&gt;='검증 기준'!$B$5,"통과","미달"))</f>
        <v/>
      </c>
      <c r="M141" s="10" t="str">
        <f aca="false">IF(G141="","",IF(G141&lt;='검증 기준'!$B$6,"통과","불안정"))</f>
        <v/>
      </c>
      <c r="N141" s="10" t="str">
        <f aca="false">IF(OR(H141="",I141=""),"",IF(OR(AND(H141&gt;='검증 기준'!$B$7,H141&lt;=I141-'검증 기준'!$B$8),C141="고"),"통과","예비"))</f>
        <v/>
      </c>
      <c r="O141" s="10" t="str">
        <f aca="false">IF(J141="예","공급 공백",IF(OR(K141="",L141="",M141="",N141=""),"",IF(AND(K141="통과",L141="통과",N141="통과"),IF(M141="통과","패널","패널(불안정)"),IF(N141="예비","예비","제외"))))</f>
        <v/>
      </c>
    </row>
    <row r="142" customFormat="false" ht="15" hidden="false" customHeight="false" outlineLevel="0" collapsed="false">
      <c r="A142" s="10" t="str">
        <f aca="false">'템플릿 문항'!A141</f>
        <v>Q138</v>
      </c>
      <c r="B142" s="10" t="str">
        <f aca="false">'템플릿 문항'!E141</f>
        <v>{지자체} 장학금 신청은 언제 하나요?</v>
      </c>
      <c r="C142" s="10" t="str">
        <f aca="false">'템플릿 문항'!H141</f>
        <v>중</v>
      </c>
      <c r="D142" s="20"/>
      <c r="E142" s="20"/>
      <c r="F142" s="21"/>
      <c r="G142" s="21"/>
      <c r="H142" s="21"/>
      <c r="I142" s="21" t="n">
        <v>5</v>
      </c>
      <c r="J142" s="20"/>
      <c r="K142" s="10" t="str">
        <f aca="false">IF(OR(D142="",E142=""),"",IF(AND(D142="적합",E142="적합"),"통과","미달"))</f>
        <v/>
      </c>
      <c r="L142" s="10" t="str">
        <f aca="false">IF(F142="","",IF(F142&gt;='검증 기준'!$B$5,"통과","미달"))</f>
        <v/>
      </c>
      <c r="M142" s="10" t="str">
        <f aca="false">IF(G142="","",IF(G142&lt;='검증 기준'!$B$6,"통과","불안정"))</f>
        <v/>
      </c>
      <c r="N142" s="10" t="str">
        <f aca="false">IF(OR(H142="",I142=""),"",IF(OR(AND(H142&gt;='검증 기준'!$B$7,H142&lt;=I142-'검증 기준'!$B$8),C142="고"),"통과","예비"))</f>
        <v/>
      </c>
      <c r="O142" s="10" t="str">
        <f aca="false">IF(J142="예","공급 공백",IF(OR(K142="",L142="",M142="",N142=""),"",IF(AND(K142="통과",L142="통과",N142="통과"),IF(M142="통과","패널","패널(불안정)"),IF(N142="예비","예비","제외"))))</f>
        <v/>
      </c>
    </row>
    <row r="143" customFormat="false" ht="15" hidden="false" customHeight="false" outlineLevel="0" collapsed="false">
      <c r="A143" s="10" t="str">
        <f aca="false">'템플릿 문항'!A142</f>
        <v>Q139</v>
      </c>
      <c r="B143" s="10" t="str">
        <f aca="false">'템플릿 문항'!E142</f>
        <v>{지자체} 학교 밖 청소년 지원센터는 어디인가요?</v>
      </c>
      <c r="C143" s="10" t="str">
        <f aca="false">'템플릿 문항'!H142</f>
        <v>중</v>
      </c>
      <c r="D143" s="20"/>
      <c r="E143" s="20"/>
      <c r="F143" s="21"/>
      <c r="G143" s="21"/>
      <c r="H143" s="21"/>
      <c r="I143" s="21" t="n">
        <v>5</v>
      </c>
      <c r="J143" s="20"/>
      <c r="K143" s="10" t="str">
        <f aca="false">IF(OR(D143="",E143=""),"",IF(AND(D143="적합",E143="적합"),"통과","미달"))</f>
        <v/>
      </c>
      <c r="L143" s="10" t="str">
        <f aca="false">IF(F143="","",IF(F143&gt;='검증 기준'!$B$5,"통과","미달"))</f>
        <v/>
      </c>
      <c r="M143" s="10" t="str">
        <f aca="false">IF(G143="","",IF(G143&lt;='검증 기준'!$B$6,"통과","불안정"))</f>
        <v/>
      </c>
      <c r="N143" s="10" t="str">
        <f aca="false">IF(OR(H143="",I143=""),"",IF(OR(AND(H143&gt;='검증 기준'!$B$7,H143&lt;=I143-'검증 기준'!$B$8),C143="고"),"통과","예비"))</f>
        <v/>
      </c>
      <c r="O143" s="10" t="str">
        <f aca="false">IF(J143="예","공급 공백",IF(OR(K143="",L143="",M143="",N143=""),"",IF(AND(K143="통과",L143="통과",N143="통과"),IF(M143="통과","패널","패널(불안정)"),IF(N143="예비","예비","제외"))))</f>
        <v/>
      </c>
    </row>
    <row r="144" customFormat="false" ht="15" hidden="false" customHeight="false" outlineLevel="0" collapsed="false">
      <c r="A144" s="10" t="str">
        <f aca="false">'템플릿 문항'!A143</f>
        <v>Q140</v>
      </c>
      <c r="B144" s="10" t="str">
        <f aca="false">'템플릿 문항'!E143</f>
        <v>{지자체} 장학재단 전화번호 알려주세요</v>
      </c>
      <c r="C144" s="10" t="str">
        <f aca="false">'템플릿 문항'!H143</f>
        <v>저</v>
      </c>
      <c r="D144" s="20"/>
      <c r="E144" s="20"/>
      <c r="F144" s="21"/>
      <c r="G144" s="21"/>
      <c r="H144" s="21"/>
      <c r="I144" s="21" t="n">
        <v>5</v>
      </c>
      <c r="J144" s="20"/>
      <c r="K144" s="10" t="str">
        <f aca="false">IF(OR(D144="",E144=""),"",IF(AND(D144="적합",E144="적합"),"통과","미달"))</f>
        <v/>
      </c>
      <c r="L144" s="10" t="str">
        <f aca="false">IF(F144="","",IF(F144&gt;='검증 기준'!$B$5,"통과","미달"))</f>
        <v/>
      </c>
      <c r="M144" s="10" t="str">
        <f aca="false">IF(G144="","",IF(G144&lt;='검증 기준'!$B$6,"통과","불안정"))</f>
        <v/>
      </c>
      <c r="N144" s="10" t="str">
        <f aca="false">IF(OR(H144="",I144=""),"",IF(OR(AND(H144&gt;='검증 기준'!$B$7,H144&lt;=I144-'검증 기준'!$B$8),C144="고"),"통과","예비"))</f>
        <v/>
      </c>
      <c r="O144" s="10" t="str">
        <f aca="false">IF(J144="예","공급 공백",IF(OR(K144="",L144="",M144="",N144=""),"",IF(AND(K144="통과",L144="통과",N144="통과"),IF(M144="통과","패널","패널(불안정)"),IF(N144="예비","예비","제외"))))</f>
        <v/>
      </c>
    </row>
    <row r="145" customFormat="false" ht="15" hidden="false" customHeight="false" outlineLevel="0" collapsed="false">
      <c r="A145" s="10" t="str">
        <f aca="false">'템플릿 문항'!A144</f>
        <v>Q141</v>
      </c>
      <c r="B145" s="10" t="str">
        <f aca="false">'템플릿 문항'!E144</f>
        <v>{지자체} 도서관 대출 권수와 기간이 어떻게 되나요?</v>
      </c>
      <c r="C145" s="10" t="str">
        <f aca="false">'템플릿 문항'!H144</f>
        <v>저</v>
      </c>
      <c r="D145" s="20"/>
      <c r="E145" s="20"/>
      <c r="F145" s="21"/>
      <c r="G145" s="21"/>
      <c r="H145" s="21"/>
      <c r="I145" s="21" t="n">
        <v>5</v>
      </c>
      <c r="J145" s="20"/>
      <c r="K145" s="10" t="str">
        <f aca="false">IF(OR(D145="",E145=""),"",IF(AND(D145="적합",E145="적합"),"통과","미달"))</f>
        <v/>
      </c>
      <c r="L145" s="10" t="str">
        <f aca="false">IF(F145="","",IF(F145&gt;='검증 기준'!$B$5,"통과","미달"))</f>
        <v/>
      </c>
      <c r="M145" s="10" t="str">
        <f aca="false">IF(G145="","",IF(G145&lt;='검증 기준'!$B$6,"통과","불안정"))</f>
        <v/>
      </c>
      <c r="N145" s="10" t="str">
        <f aca="false">IF(OR(H145="",I145=""),"",IF(OR(AND(H145&gt;='검증 기준'!$B$7,H145&lt;=I145-'검증 기준'!$B$8),C145="고"),"통과","예비"))</f>
        <v/>
      </c>
      <c r="O145" s="10" t="str">
        <f aca="false">IF(J145="예","공급 공백",IF(OR(K145="",L145="",M145="",N145=""),"",IF(AND(K145="통과",L145="통과",N145="통과"),IF(M145="통과","패널","패널(불안정)"),IF(N145="예비","예비","제외"))))</f>
        <v/>
      </c>
    </row>
    <row r="146" customFormat="false" ht="15" hidden="false" customHeight="false" outlineLevel="0" collapsed="false">
      <c r="A146" s="10" t="str">
        <f aca="false">'템플릿 문항'!A145</f>
        <v>Q142</v>
      </c>
      <c r="B146" s="10" t="str">
        <f aca="false">'템플릿 문항'!E145</f>
        <v>{지자체} {도서관} 휴관일이 언제인가요?</v>
      </c>
      <c r="C146" s="10" t="str">
        <f aca="false">'템플릿 문항'!H145</f>
        <v>저</v>
      </c>
      <c r="D146" s="20"/>
      <c r="E146" s="20"/>
      <c r="F146" s="21"/>
      <c r="G146" s="21"/>
      <c r="H146" s="21"/>
      <c r="I146" s="21" t="n">
        <v>5</v>
      </c>
      <c r="J146" s="20"/>
      <c r="K146" s="10" t="str">
        <f aca="false">IF(OR(D146="",E146=""),"",IF(AND(D146="적합",E146="적합"),"통과","미달"))</f>
        <v/>
      </c>
      <c r="L146" s="10" t="str">
        <f aca="false">IF(F146="","",IF(F146&gt;='검증 기준'!$B$5,"통과","미달"))</f>
        <v/>
      </c>
      <c r="M146" s="10" t="str">
        <f aca="false">IF(G146="","",IF(G146&lt;='검증 기준'!$B$6,"통과","불안정"))</f>
        <v/>
      </c>
      <c r="N146" s="10" t="str">
        <f aca="false">IF(OR(H146="",I146=""),"",IF(OR(AND(H146&gt;='검증 기준'!$B$7,H146&lt;=I146-'검증 기준'!$B$8),C146="고"),"통과","예비"))</f>
        <v/>
      </c>
      <c r="O146" s="10" t="str">
        <f aca="false">IF(J146="예","공급 공백",IF(OR(K146="",L146="",M146="",N146=""),"",IF(AND(K146="통과",L146="통과",N146="통과"),IF(M146="통과","패널","패널(불안정)"),IF(N146="예비","예비","제외"))))</f>
        <v/>
      </c>
    </row>
    <row r="147" customFormat="false" ht="15" hidden="false" customHeight="false" outlineLevel="0" collapsed="false">
      <c r="A147" s="10" t="str">
        <f aca="false">'템플릿 문항'!A146</f>
        <v>Q143</v>
      </c>
      <c r="B147" s="10" t="str">
        <f aca="false">'템플릿 문항'!E146</f>
        <v>{지자체} 도서관 회원 가입은 어떻게 하나요?</v>
      </c>
      <c r="C147" s="10" t="str">
        <f aca="false">'템플릿 문항'!H146</f>
        <v>저</v>
      </c>
      <c r="D147" s="20"/>
      <c r="E147" s="20"/>
      <c r="F147" s="21"/>
      <c r="G147" s="21"/>
      <c r="H147" s="21"/>
      <c r="I147" s="21" t="n">
        <v>5</v>
      </c>
      <c r="J147" s="20"/>
      <c r="K147" s="10" t="str">
        <f aca="false">IF(OR(D147="",E147=""),"",IF(AND(D147="적합",E147="적합"),"통과","미달"))</f>
        <v/>
      </c>
      <c r="L147" s="10" t="str">
        <f aca="false">IF(F147="","",IF(F147&gt;='검증 기준'!$B$5,"통과","미달"))</f>
        <v/>
      </c>
      <c r="M147" s="10" t="str">
        <f aca="false">IF(G147="","",IF(G147&lt;='검증 기준'!$B$6,"통과","불안정"))</f>
        <v/>
      </c>
      <c r="N147" s="10" t="str">
        <f aca="false">IF(OR(H147="",I147=""),"",IF(OR(AND(H147&gt;='검증 기준'!$B$7,H147&lt;=I147-'검증 기준'!$B$8),C147="고"),"통과","예비"))</f>
        <v/>
      </c>
      <c r="O147" s="10" t="str">
        <f aca="false">IF(J147="예","공급 공백",IF(OR(K147="",L147="",M147="",N147=""),"",IF(AND(K147="통과",L147="통과",N147="통과"),IF(M147="통과","패널","패널(불안정)"),IF(N147="예비","예비","제외"))))</f>
        <v/>
      </c>
    </row>
    <row r="148" customFormat="false" ht="15" hidden="false" customHeight="false" outlineLevel="0" collapsed="false">
      <c r="A148" s="10" t="str">
        <f aca="false">'템플릿 문항'!A147</f>
        <v>Q144</v>
      </c>
      <c r="B148" s="10" t="str">
        <f aca="false">'템플릿 문항'!E147</f>
        <v>{지자체} 도서관 운영 시간이 언제인가요?</v>
      </c>
      <c r="C148" s="10" t="str">
        <f aca="false">'템플릿 문항'!H147</f>
        <v>저</v>
      </c>
      <c r="D148" s="20"/>
      <c r="E148" s="20"/>
      <c r="F148" s="21"/>
      <c r="G148" s="21"/>
      <c r="H148" s="21"/>
      <c r="I148" s="21" t="n">
        <v>5</v>
      </c>
      <c r="J148" s="20"/>
      <c r="K148" s="10" t="str">
        <f aca="false">IF(OR(D148="",E148=""),"",IF(AND(D148="적합",E148="적합"),"통과","미달"))</f>
        <v/>
      </c>
      <c r="L148" s="10" t="str">
        <f aca="false">IF(F148="","",IF(F148&gt;='검증 기준'!$B$5,"통과","미달"))</f>
        <v/>
      </c>
      <c r="M148" s="10" t="str">
        <f aca="false">IF(G148="","",IF(G148&lt;='검증 기준'!$B$6,"통과","불안정"))</f>
        <v/>
      </c>
      <c r="N148" s="10" t="str">
        <f aca="false">IF(OR(H148="",I148=""),"",IF(OR(AND(H148&gt;='검증 기준'!$B$7,H148&lt;=I148-'검증 기준'!$B$8),C148="고"),"통과","예비"))</f>
        <v/>
      </c>
      <c r="O148" s="10" t="str">
        <f aca="false">IF(J148="예","공급 공백",IF(OR(K148="",L148="",M148="",N148=""),"",IF(AND(K148="통과",L148="통과",N148="통과"),IF(M148="통과","패널","패널(불안정)"),IF(N148="예비","예비","제외"))))</f>
        <v/>
      </c>
    </row>
    <row r="149" customFormat="false" ht="15" hidden="false" customHeight="false" outlineLevel="0" collapsed="false">
      <c r="A149" s="10" t="str">
        <f aca="false">'템플릿 문항'!A148</f>
        <v>Q145</v>
      </c>
      <c r="B149" s="10" t="str">
        <f aca="false">'템플릿 문항'!E148</f>
        <v>{지자체} 전자책 대출 서비스가 있나요?</v>
      </c>
      <c r="C149" s="10" t="str">
        <f aca="false">'템플릿 문항'!H148</f>
        <v>저</v>
      </c>
      <c r="D149" s="20"/>
      <c r="E149" s="20"/>
      <c r="F149" s="21"/>
      <c r="G149" s="21"/>
      <c r="H149" s="21"/>
      <c r="I149" s="21" t="n">
        <v>5</v>
      </c>
      <c r="J149" s="20"/>
      <c r="K149" s="10" t="str">
        <f aca="false">IF(OR(D149="",E149=""),"",IF(AND(D149="적합",E149="적합"),"통과","미달"))</f>
        <v/>
      </c>
      <c r="L149" s="10" t="str">
        <f aca="false">IF(F149="","",IF(F149&gt;='검증 기준'!$B$5,"통과","미달"))</f>
        <v/>
      </c>
      <c r="M149" s="10" t="str">
        <f aca="false">IF(G149="","",IF(G149&lt;='검증 기준'!$B$6,"통과","불안정"))</f>
        <v/>
      </c>
      <c r="N149" s="10" t="str">
        <f aca="false">IF(OR(H149="",I149=""),"",IF(OR(AND(H149&gt;='검증 기준'!$B$7,H149&lt;=I149-'검증 기준'!$B$8),C149="고"),"통과","예비"))</f>
        <v/>
      </c>
      <c r="O149" s="10" t="str">
        <f aca="false">IF(J149="예","공급 공백",IF(OR(K149="",L149="",M149="",N149=""),"",IF(AND(K149="통과",L149="통과",N149="통과"),IF(M149="통과","패널","패널(불안정)"),IF(N149="예비","예비","제외"))))</f>
        <v/>
      </c>
    </row>
    <row r="150" customFormat="false" ht="15" hidden="false" customHeight="false" outlineLevel="0" collapsed="false">
      <c r="A150" s="10" t="str">
        <f aca="false">'템플릿 문항'!A149</f>
        <v>Q146</v>
      </c>
      <c r="B150" s="10" t="str">
        <f aca="false">'템플릿 문항'!E149</f>
        <v>{지자체} 문화회관 대관 신청은 어떻게 하나요?</v>
      </c>
      <c r="C150" s="10" t="str">
        <f aca="false">'템플릿 문항'!H149</f>
        <v>저</v>
      </c>
      <c r="D150" s="20"/>
      <c r="E150" s="20"/>
      <c r="F150" s="21"/>
      <c r="G150" s="21"/>
      <c r="H150" s="21"/>
      <c r="I150" s="21" t="n">
        <v>5</v>
      </c>
      <c r="J150" s="20"/>
      <c r="K150" s="10" t="str">
        <f aca="false">IF(OR(D150="",E150=""),"",IF(AND(D150="적합",E150="적합"),"통과","미달"))</f>
        <v/>
      </c>
      <c r="L150" s="10" t="str">
        <f aca="false">IF(F150="","",IF(F150&gt;='검증 기준'!$B$5,"통과","미달"))</f>
        <v/>
      </c>
      <c r="M150" s="10" t="str">
        <f aca="false">IF(G150="","",IF(G150&lt;='검증 기준'!$B$6,"통과","불안정"))</f>
        <v/>
      </c>
      <c r="N150" s="10" t="str">
        <f aca="false">IF(OR(H150="",I150=""),"",IF(OR(AND(H150&gt;='검증 기준'!$B$7,H150&lt;=I150-'검증 기준'!$B$8),C150="고"),"통과","예비"))</f>
        <v/>
      </c>
      <c r="O150" s="10" t="str">
        <f aca="false">IF(J150="예","공급 공백",IF(OR(K150="",L150="",M150="",N150=""),"",IF(AND(K150="통과",L150="통과",N150="통과"),IF(M150="통과","패널","패널(불안정)"),IF(N150="예비","예비","제외"))))</f>
        <v/>
      </c>
    </row>
    <row r="151" customFormat="false" ht="15" hidden="false" customHeight="false" outlineLevel="0" collapsed="false">
      <c r="A151" s="10" t="str">
        <f aca="false">'템플릿 문항'!A150</f>
        <v>Q147</v>
      </c>
      <c r="B151" s="10" t="str">
        <f aca="false">'템플릿 문항'!E150</f>
        <v>{지자체} 문화회관 대관료가 얼마인가요?</v>
      </c>
      <c r="C151" s="10" t="str">
        <f aca="false">'템플릿 문항'!H150</f>
        <v>저</v>
      </c>
      <c r="D151" s="20"/>
      <c r="E151" s="20"/>
      <c r="F151" s="21"/>
      <c r="G151" s="21"/>
      <c r="H151" s="21"/>
      <c r="I151" s="21" t="n">
        <v>5</v>
      </c>
      <c r="J151" s="20"/>
      <c r="K151" s="10" t="str">
        <f aca="false">IF(OR(D151="",E151=""),"",IF(AND(D151="적합",E151="적합"),"통과","미달"))</f>
        <v/>
      </c>
      <c r="L151" s="10" t="str">
        <f aca="false">IF(F151="","",IF(F151&gt;='검증 기준'!$B$5,"통과","미달"))</f>
        <v/>
      </c>
      <c r="M151" s="10" t="str">
        <f aca="false">IF(G151="","",IF(G151&lt;='검증 기준'!$B$6,"통과","불안정"))</f>
        <v/>
      </c>
      <c r="N151" s="10" t="str">
        <f aca="false">IF(OR(H151="",I151=""),"",IF(OR(AND(H151&gt;='검증 기준'!$B$7,H151&lt;=I151-'검증 기준'!$B$8),C151="고"),"통과","예비"))</f>
        <v/>
      </c>
      <c r="O151" s="10" t="str">
        <f aca="false">IF(J151="예","공급 공백",IF(OR(K151="",L151="",M151="",N151=""),"",IF(AND(K151="통과",L151="통과",N151="통과"),IF(M151="통과","패널","패널(불안정)"),IF(N151="예비","예비","제외"))))</f>
        <v/>
      </c>
    </row>
    <row r="152" customFormat="false" ht="15" hidden="false" customHeight="false" outlineLevel="0" collapsed="false">
      <c r="A152" s="10" t="str">
        <f aca="false">'템플릿 문항'!A151</f>
        <v>Q148</v>
      </c>
      <c r="B152" s="10" t="str">
        <f aca="false">'템플릿 문항'!E151</f>
        <v>{지자체} 이번 달 공연 일정이 어떻게 되나요?</v>
      </c>
      <c r="C152" s="10" t="str">
        <f aca="false">'템플릿 문항'!H151</f>
        <v>저</v>
      </c>
      <c r="D152" s="20"/>
      <c r="E152" s="20"/>
      <c r="F152" s="21"/>
      <c r="G152" s="21"/>
      <c r="H152" s="21"/>
      <c r="I152" s="21" t="n">
        <v>5</v>
      </c>
      <c r="J152" s="20"/>
      <c r="K152" s="10" t="str">
        <f aca="false">IF(OR(D152="",E152=""),"",IF(AND(D152="적합",E152="적합"),"통과","미달"))</f>
        <v/>
      </c>
      <c r="L152" s="10" t="str">
        <f aca="false">IF(F152="","",IF(F152&gt;='검증 기준'!$B$5,"통과","미달"))</f>
        <v/>
      </c>
      <c r="M152" s="10" t="str">
        <f aca="false">IF(G152="","",IF(G152&lt;='검증 기준'!$B$6,"통과","불안정"))</f>
        <v/>
      </c>
      <c r="N152" s="10" t="str">
        <f aca="false">IF(OR(H152="",I152=""),"",IF(OR(AND(H152&gt;='검증 기준'!$B$7,H152&lt;=I152-'검증 기준'!$B$8),C152="고"),"통과","예비"))</f>
        <v/>
      </c>
      <c r="O152" s="10" t="str">
        <f aca="false">IF(J152="예","공급 공백",IF(OR(K152="",L152="",M152="",N152=""),"",IF(AND(K152="통과",L152="통과",N152="통과"),IF(M152="통과","패널","패널(불안정)"),IF(N152="예비","예비","제외"))))</f>
        <v/>
      </c>
    </row>
    <row r="153" customFormat="false" ht="15" hidden="false" customHeight="false" outlineLevel="0" collapsed="false">
      <c r="A153" s="10" t="str">
        <f aca="false">'템플릿 문항'!A152</f>
        <v>Q149</v>
      </c>
      <c r="B153" s="10" t="str">
        <f aca="false">'템플릿 문항'!E152</f>
        <v>{지자체} 문화회관 전화번호가 뭔가요?</v>
      </c>
      <c r="C153" s="10" t="str">
        <f aca="false">'템플릿 문항'!H152</f>
        <v>저</v>
      </c>
      <c r="D153" s="20"/>
      <c r="E153" s="20"/>
      <c r="F153" s="21"/>
      <c r="G153" s="21"/>
      <c r="H153" s="21"/>
      <c r="I153" s="21" t="n">
        <v>5</v>
      </c>
      <c r="J153" s="20"/>
      <c r="K153" s="10" t="str">
        <f aca="false">IF(OR(D153="",E153=""),"",IF(AND(D153="적합",E153="적합"),"통과","미달"))</f>
        <v/>
      </c>
      <c r="L153" s="10" t="str">
        <f aca="false">IF(F153="","",IF(F153&gt;='검증 기준'!$B$5,"통과","미달"))</f>
        <v/>
      </c>
      <c r="M153" s="10" t="str">
        <f aca="false">IF(G153="","",IF(G153&lt;='검증 기준'!$B$6,"통과","불안정"))</f>
        <v/>
      </c>
      <c r="N153" s="10" t="str">
        <f aca="false">IF(OR(H153="",I153=""),"",IF(OR(AND(H153&gt;='검증 기준'!$B$7,H153&lt;=I153-'검증 기준'!$B$8),C153="고"),"통과","예비"))</f>
        <v/>
      </c>
      <c r="O153" s="10" t="str">
        <f aca="false">IF(J153="예","공급 공백",IF(OR(K153="",L153="",M153="",N153=""),"",IF(AND(K153="통과",L153="통과",N153="통과"),IF(M153="통과","패널","패널(불안정)"),IF(N153="예비","예비","제외"))))</f>
        <v/>
      </c>
    </row>
    <row r="154" customFormat="false" ht="15" hidden="false" customHeight="false" outlineLevel="0" collapsed="false">
      <c r="A154" s="10" t="str">
        <f aca="false">'템플릿 문항'!A153</f>
        <v>Q150</v>
      </c>
      <c r="B154" s="10" t="str">
        <f aca="false">'템플릿 문항'!E153</f>
        <v>{지자체} 대표 축제가 뭔가요?</v>
      </c>
      <c r="C154" s="10" t="str">
        <f aca="false">'템플릿 문항'!H153</f>
        <v>저</v>
      </c>
      <c r="D154" s="20"/>
      <c r="E154" s="20"/>
      <c r="F154" s="21"/>
      <c r="G154" s="21"/>
      <c r="H154" s="21"/>
      <c r="I154" s="21" t="n">
        <v>5</v>
      </c>
      <c r="J154" s="20"/>
      <c r="K154" s="10" t="str">
        <f aca="false">IF(OR(D154="",E154=""),"",IF(AND(D154="적합",E154="적합"),"통과","미달"))</f>
        <v/>
      </c>
      <c r="L154" s="10" t="str">
        <f aca="false">IF(F154="","",IF(F154&gt;='검증 기준'!$B$5,"통과","미달"))</f>
        <v/>
      </c>
      <c r="M154" s="10" t="str">
        <f aca="false">IF(G154="","",IF(G154&lt;='검증 기준'!$B$6,"통과","불안정"))</f>
        <v/>
      </c>
      <c r="N154" s="10" t="str">
        <f aca="false">IF(OR(H154="",I154=""),"",IF(OR(AND(H154&gt;='검증 기준'!$B$7,H154&lt;=I154-'검증 기준'!$B$8),C154="고"),"통과","예비"))</f>
        <v/>
      </c>
      <c r="O154" s="10" t="str">
        <f aca="false">IF(J154="예","공급 공백",IF(OR(K154="",L154="",M154="",N154=""),"",IF(AND(K154="통과",L154="통과",N154="통과"),IF(M154="통과","패널","패널(불안정)"),IF(N154="예비","예비","제외"))))</f>
        <v/>
      </c>
    </row>
    <row r="155" customFormat="false" ht="15" hidden="false" customHeight="false" outlineLevel="0" collapsed="false">
      <c r="A155" s="10" t="str">
        <f aca="false">'템플릿 문항'!A154</f>
        <v>Q151</v>
      </c>
      <c r="B155" s="10" t="str">
        <f aca="false">'템플릿 문항'!E154</f>
        <v>{지자체} {축제} 올해 일정이 언제인가요?</v>
      </c>
      <c r="C155" s="10" t="str">
        <f aca="false">'템플릿 문항'!H154</f>
        <v>저</v>
      </c>
      <c r="D155" s="20"/>
      <c r="E155" s="20"/>
      <c r="F155" s="21"/>
      <c r="G155" s="21"/>
      <c r="H155" s="21"/>
      <c r="I155" s="21" t="n">
        <v>5</v>
      </c>
      <c r="J155" s="20"/>
      <c r="K155" s="10" t="str">
        <f aca="false">IF(OR(D155="",E155=""),"",IF(AND(D155="적합",E155="적합"),"통과","미달"))</f>
        <v/>
      </c>
      <c r="L155" s="10" t="str">
        <f aca="false">IF(F155="","",IF(F155&gt;='검증 기준'!$B$5,"통과","미달"))</f>
        <v/>
      </c>
      <c r="M155" s="10" t="str">
        <f aca="false">IF(G155="","",IF(G155&lt;='검증 기준'!$B$6,"통과","불안정"))</f>
        <v/>
      </c>
      <c r="N155" s="10" t="str">
        <f aca="false">IF(OR(H155="",I155=""),"",IF(OR(AND(H155&gt;='검증 기준'!$B$7,H155&lt;=I155-'검증 기준'!$B$8),C155="고"),"통과","예비"))</f>
        <v/>
      </c>
      <c r="O155" s="10" t="str">
        <f aca="false">IF(J155="예","공급 공백",IF(OR(K155="",L155="",M155="",N155=""),"",IF(AND(K155="통과",L155="통과",N155="통과"),IF(M155="통과","패널","패널(불안정)"),IF(N155="예비","예비","제외"))))</f>
        <v/>
      </c>
    </row>
    <row r="156" customFormat="false" ht="15" hidden="false" customHeight="false" outlineLevel="0" collapsed="false">
      <c r="A156" s="10" t="str">
        <f aca="false">'템플릿 문항'!A155</f>
        <v>Q152</v>
      </c>
      <c r="B156" s="10" t="str">
        <f aca="false">'템플릿 문항'!E155</f>
        <v>{지자체} {축제} 장소가 어디인가요?</v>
      </c>
      <c r="C156" s="10" t="str">
        <f aca="false">'템플릿 문항'!H155</f>
        <v>저</v>
      </c>
      <c r="D156" s="20"/>
      <c r="E156" s="20"/>
      <c r="F156" s="21"/>
      <c r="G156" s="21"/>
      <c r="H156" s="21"/>
      <c r="I156" s="21" t="n">
        <v>5</v>
      </c>
      <c r="J156" s="20"/>
      <c r="K156" s="10" t="str">
        <f aca="false">IF(OR(D156="",E156=""),"",IF(AND(D156="적합",E156="적합"),"통과","미달"))</f>
        <v/>
      </c>
      <c r="L156" s="10" t="str">
        <f aca="false">IF(F156="","",IF(F156&gt;='검증 기준'!$B$5,"통과","미달"))</f>
        <v/>
      </c>
      <c r="M156" s="10" t="str">
        <f aca="false">IF(G156="","",IF(G156&lt;='검증 기준'!$B$6,"통과","불안정"))</f>
        <v/>
      </c>
      <c r="N156" s="10" t="str">
        <f aca="false">IF(OR(H156="",I156=""),"",IF(OR(AND(H156&gt;='검증 기준'!$B$7,H156&lt;=I156-'검증 기준'!$B$8),C156="고"),"통과","예비"))</f>
        <v/>
      </c>
      <c r="O156" s="10" t="str">
        <f aca="false">IF(J156="예","공급 공백",IF(OR(K156="",L156="",M156="",N156=""),"",IF(AND(K156="통과",L156="통과",N156="통과"),IF(M156="통과","패널","패널(불안정)"),IF(N156="예비","예비","제외"))))</f>
        <v/>
      </c>
    </row>
    <row r="157" customFormat="false" ht="15" hidden="false" customHeight="false" outlineLevel="0" collapsed="false">
      <c r="A157" s="10" t="str">
        <f aca="false">'템플릿 문항'!A156</f>
        <v>Q153</v>
      </c>
      <c r="B157" s="10" t="str">
        <f aca="false">'템플릿 문항'!E156</f>
        <v>{지자체} {축제} 주차는 어디에 하나요?</v>
      </c>
      <c r="C157" s="10" t="str">
        <f aca="false">'템플릿 문항'!H156</f>
        <v>저</v>
      </c>
      <c r="D157" s="20"/>
      <c r="E157" s="20"/>
      <c r="F157" s="21"/>
      <c r="G157" s="21"/>
      <c r="H157" s="21"/>
      <c r="I157" s="21" t="n">
        <v>5</v>
      </c>
      <c r="J157" s="20"/>
      <c r="K157" s="10" t="str">
        <f aca="false">IF(OR(D157="",E157=""),"",IF(AND(D157="적합",E157="적합"),"통과","미달"))</f>
        <v/>
      </c>
      <c r="L157" s="10" t="str">
        <f aca="false">IF(F157="","",IF(F157&gt;='검증 기준'!$B$5,"통과","미달"))</f>
        <v/>
      </c>
      <c r="M157" s="10" t="str">
        <f aca="false">IF(G157="","",IF(G157&lt;='검증 기준'!$B$6,"통과","불안정"))</f>
        <v/>
      </c>
      <c r="N157" s="10" t="str">
        <f aca="false">IF(OR(H157="",I157=""),"",IF(OR(AND(H157&gt;='검증 기준'!$B$7,H157&lt;=I157-'검증 기준'!$B$8),C157="고"),"통과","예비"))</f>
        <v/>
      </c>
      <c r="O157" s="10" t="str">
        <f aca="false">IF(J157="예","공급 공백",IF(OR(K157="",L157="",M157="",N157=""),"",IF(AND(K157="통과",L157="통과",N157="통과"),IF(M157="통과","패널","패널(불안정)"),IF(N157="예비","예비","제외"))))</f>
        <v/>
      </c>
    </row>
    <row r="158" customFormat="false" ht="15" hidden="false" customHeight="false" outlineLevel="0" collapsed="false">
      <c r="A158" s="10" t="str">
        <f aca="false">'템플릿 문항'!A157</f>
        <v>Q154</v>
      </c>
      <c r="B158" s="10" t="str">
        <f aca="false">'템플릿 문항'!E157</f>
        <v>{지자체} 관광 안내소는 어디에 있나요?</v>
      </c>
      <c r="C158" s="10" t="str">
        <f aca="false">'템플릿 문항'!H157</f>
        <v>저</v>
      </c>
      <c r="D158" s="20"/>
      <c r="E158" s="20"/>
      <c r="F158" s="21"/>
      <c r="G158" s="21"/>
      <c r="H158" s="21"/>
      <c r="I158" s="21" t="n">
        <v>5</v>
      </c>
      <c r="J158" s="20"/>
      <c r="K158" s="10" t="str">
        <f aca="false">IF(OR(D158="",E158=""),"",IF(AND(D158="적합",E158="적합"),"통과","미달"))</f>
        <v/>
      </c>
      <c r="L158" s="10" t="str">
        <f aca="false">IF(F158="","",IF(F158&gt;='검증 기준'!$B$5,"통과","미달"))</f>
        <v/>
      </c>
      <c r="M158" s="10" t="str">
        <f aca="false">IF(G158="","",IF(G158&lt;='검증 기준'!$B$6,"통과","불안정"))</f>
        <v/>
      </c>
      <c r="N158" s="10" t="str">
        <f aca="false">IF(OR(H158="",I158=""),"",IF(OR(AND(H158&gt;='검증 기준'!$B$7,H158&lt;=I158-'검증 기준'!$B$8),C158="고"),"통과","예비"))</f>
        <v/>
      </c>
      <c r="O158" s="10" t="str">
        <f aca="false">IF(J158="예","공급 공백",IF(OR(K158="",L158="",M158="",N158=""),"",IF(AND(K158="통과",L158="통과",N158="통과"),IF(M158="통과","패널","패널(불안정)"),IF(N158="예비","예비","제외"))))</f>
        <v/>
      </c>
    </row>
    <row r="159" customFormat="false" ht="15" hidden="false" customHeight="false" outlineLevel="0" collapsed="false">
      <c r="A159" s="10" t="str">
        <f aca="false">'템플릿 문항'!A158</f>
        <v>Q155</v>
      </c>
      <c r="B159" s="10" t="str">
        <f aca="false">'템플릿 문항'!E158</f>
        <v>{지자체} 공식 관광 명소 {명소} 입장료가 얼마인가요?</v>
      </c>
      <c r="C159" s="10" t="str">
        <f aca="false">'템플릿 문항'!H158</f>
        <v>저</v>
      </c>
      <c r="D159" s="20"/>
      <c r="E159" s="20"/>
      <c r="F159" s="21"/>
      <c r="G159" s="21"/>
      <c r="H159" s="21"/>
      <c r="I159" s="21" t="n">
        <v>5</v>
      </c>
      <c r="J159" s="20"/>
      <c r="K159" s="10" t="str">
        <f aca="false">IF(OR(D159="",E159=""),"",IF(AND(D159="적합",E159="적합"),"통과","미달"))</f>
        <v/>
      </c>
      <c r="L159" s="10" t="str">
        <f aca="false">IF(F159="","",IF(F159&gt;='검증 기준'!$B$5,"통과","미달"))</f>
        <v/>
      </c>
      <c r="M159" s="10" t="str">
        <f aca="false">IF(G159="","",IF(G159&lt;='검증 기준'!$B$6,"통과","불안정"))</f>
        <v/>
      </c>
      <c r="N159" s="10" t="str">
        <f aca="false">IF(OR(H159="",I159=""),"",IF(OR(AND(H159&gt;='검증 기준'!$B$7,H159&lt;=I159-'검증 기준'!$B$8),C159="고"),"통과","예비"))</f>
        <v/>
      </c>
      <c r="O159" s="10" t="str">
        <f aca="false">IF(J159="예","공급 공백",IF(OR(K159="",L159="",M159="",N159=""),"",IF(AND(K159="통과",L159="통과",N159="통과"),IF(M159="통과","패널","패널(불안정)"),IF(N159="예비","예비","제외"))))</f>
        <v/>
      </c>
    </row>
    <row r="160" customFormat="false" ht="15" hidden="false" customHeight="false" outlineLevel="0" collapsed="false">
      <c r="A160" s="10" t="str">
        <f aca="false">'템플릿 문항'!A159</f>
        <v>Q156</v>
      </c>
      <c r="B160" s="10" t="str">
        <f aca="false">'템플릿 문항'!E159</f>
        <v>{지자체} 체육센터 수영 강습 신청은 언제 하나요?</v>
      </c>
      <c r="C160" s="10" t="str">
        <f aca="false">'템플릿 문항'!H159</f>
        <v>저</v>
      </c>
      <c r="D160" s="20"/>
      <c r="E160" s="20"/>
      <c r="F160" s="21"/>
      <c r="G160" s="21"/>
      <c r="H160" s="21"/>
      <c r="I160" s="21" t="n">
        <v>5</v>
      </c>
      <c r="J160" s="20"/>
      <c r="K160" s="10" t="str">
        <f aca="false">IF(OR(D160="",E160=""),"",IF(AND(D160="적합",E160="적합"),"통과","미달"))</f>
        <v/>
      </c>
      <c r="L160" s="10" t="str">
        <f aca="false">IF(F160="","",IF(F160&gt;='검증 기준'!$B$5,"통과","미달"))</f>
        <v/>
      </c>
      <c r="M160" s="10" t="str">
        <f aca="false">IF(G160="","",IF(G160&lt;='검증 기준'!$B$6,"통과","불안정"))</f>
        <v/>
      </c>
      <c r="N160" s="10" t="str">
        <f aca="false">IF(OR(H160="",I160=""),"",IF(OR(AND(H160&gt;='검증 기준'!$B$7,H160&lt;=I160-'검증 기준'!$B$8),C160="고"),"통과","예비"))</f>
        <v/>
      </c>
      <c r="O160" s="10" t="str">
        <f aca="false">IF(J160="예","공급 공백",IF(OR(K160="",L160="",M160="",N160=""),"",IF(AND(K160="통과",L160="통과",N160="통과"),IF(M160="통과","패널","패널(불안정)"),IF(N160="예비","예비","제외"))))</f>
        <v/>
      </c>
    </row>
    <row r="161" customFormat="false" ht="15" hidden="false" customHeight="false" outlineLevel="0" collapsed="false">
      <c r="A161" s="10" t="str">
        <f aca="false">'템플릿 문항'!A160</f>
        <v>Q157</v>
      </c>
      <c r="B161" s="10" t="str">
        <f aca="false">'템플릿 문항'!E160</f>
        <v>{지자체} 체육센터 수강료가 얼마인가요?</v>
      </c>
      <c r="C161" s="10" t="str">
        <f aca="false">'템플릿 문항'!H160</f>
        <v>저</v>
      </c>
      <c r="D161" s="20"/>
      <c r="E161" s="20"/>
      <c r="F161" s="21"/>
      <c r="G161" s="21"/>
      <c r="H161" s="21"/>
      <c r="I161" s="21" t="n">
        <v>5</v>
      </c>
      <c r="J161" s="20"/>
      <c r="K161" s="10" t="str">
        <f aca="false">IF(OR(D161="",E161=""),"",IF(AND(D161="적합",E161="적합"),"통과","미달"))</f>
        <v/>
      </c>
      <c r="L161" s="10" t="str">
        <f aca="false">IF(F161="","",IF(F161&gt;='검증 기준'!$B$5,"통과","미달"))</f>
        <v/>
      </c>
      <c r="M161" s="10" t="str">
        <f aca="false">IF(G161="","",IF(G161&lt;='검증 기준'!$B$6,"통과","불안정"))</f>
        <v/>
      </c>
      <c r="N161" s="10" t="str">
        <f aca="false">IF(OR(H161="",I161=""),"",IF(OR(AND(H161&gt;='검증 기준'!$B$7,H161&lt;=I161-'검증 기준'!$B$8),C161="고"),"통과","예비"))</f>
        <v/>
      </c>
      <c r="O161" s="10" t="str">
        <f aca="false">IF(J161="예","공급 공백",IF(OR(K161="",L161="",M161="",N161=""),"",IF(AND(K161="통과",L161="통과",N161="통과"),IF(M161="통과","패널","패널(불안정)"),IF(N161="예비","예비","제외"))))</f>
        <v/>
      </c>
    </row>
    <row r="162" customFormat="false" ht="15" hidden="false" customHeight="false" outlineLevel="0" collapsed="false">
      <c r="A162" s="10" t="str">
        <f aca="false">'템플릿 문항'!A161</f>
        <v>Q158</v>
      </c>
      <c r="B162" s="10" t="str">
        <f aca="false">'템플릿 문항'!E161</f>
        <v>{지자체} 공공 체육시설 예약은 어떻게 하나요?</v>
      </c>
      <c r="C162" s="10" t="str">
        <f aca="false">'템플릿 문항'!H161</f>
        <v>저</v>
      </c>
      <c r="D162" s="20"/>
      <c r="E162" s="20"/>
      <c r="F162" s="21"/>
      <c r="G162" s="21"/>
      <c r="H162" s="21"/>
      <c r="I162" s="21" t="n">
        <v>5</v>
      </c>
      <c r="J162" s="20"/>
      <c r="K162" s="10" t="str">
        <f aca="false">IF(OR(D162="",E162=""),"",IF(AND(D162="적합",E162="적합"),"통과","미달"))</f>
        <v/>
      </c>
      <c r="L162" s="10" t="str">
        <f aca="false">IF(F162="","",IF(F162&gt;='검증 기준'!$B$5,"통과","미달"))</f>
        <v/>
      </c>
      <c r="M162" s="10" t="str">
        <f aca="false">IF(G162="","",IF(G162&lt;='검증 기준'!$B$6,"통과","불안정"))</f>
        <v/>
      </c>
      <c r="N162" s="10" t="str">
        <f aca="false">IF(OR(H162="",I162=""),"",IF(OR(AND(H162&gt;='검증 기준'!$B$7,H162&lt;=I162-'검증 기준'!$B$8),C162="고"),"통과","예비"))</f>
        <v/>
      </c>
      <c r="O162" s="10" t="str">
        <f aca="false">IF(J162="예","공급 공백",IF(OR(K162="",L162="",M162="",N162=""),"",IF(AND(K162="통과",L162="통과",N162="통과"),IF(M162="통과","패널","패널(불안정)"),IF(N162="예비","예비","제외"))))</f>
        <v/>
      </c>
    </row>
    <row r="163" customFormat="false" ht="15" hidden="false" customHeight="false" outlineLevel="0" collapsed="false">
      <c r="A163" s="10" t="str">
        <f aca="false">'템플릿 문항'!A162</f>
        <v>Q159</v>
      </c>
      <c r="B163" s="10" t="str">
        <f aca="false">'템플릿 문항'!E162</f>
        <v>{지자체} 건축 신고는 어디서 하나요?</v>
      </c>
      <c r="C163" s="10" t="str">
        <f aca="false">'템플릿 문항'!H162</f>
        <v>중</v>
      </c>
      <c r="D163" s="20"/>
      <c r="E163" s="20"/>
      <c r="F163" s="21"/>
      <c r="G163" s="21"/>
      <c r="H163" s="21"/>
      <c r="I163" s="21" t="n">
        <v>5</v>
      </c>
      <c r="J163" s="20"/>
      <c r="K163" s="10" t="str">
        <f aca="false">IF(OR(D163="",E163=""),"",IF(AND(D163="적합",E163="적합"),"통과","미달"))</f>
        <v/>
      </c>
      <c r="L163" s="10" t="str">
        <f aca="false">IF(F163="","",IF(F163&gt;='검증 기준'!$B$5,"통과","미달"))</f>
        <v/>
      </c>
      <c r="M163" s="10" t="str">
        <f aca="false">IF(G163="","",IF(G163&lt;='검증 기준'!$B$6,"통과","불안정"))</f>
        <v/>
      </c>
      <c r="N163" s="10" t="str">
        <f aca="false">IF(OR(H163="",I163=""),"",IF(OR(AND(H163&gt;='검증 기준'!$B$7,H163&lt;=I163-'검증 기준'!$B$8),C163="고"),"통과","예비"))</f>
        <v/>
      </c>
      <c r="O163" s="10" t="str">
        <f aca="false">IF(J163="예","공급 공백",IF(OR(K163="",L163="",M163="",N163=""),"",IF(AND(K163="통과",L163="통과",N163="통과"),IF(M163="통과","패널","패널(불안정)"),IF(N163="예비","예비","제외"))))</f>
        <v/>
      </c>
    </row>
    <row r="164" customFormat="false" ht="15" hidden="false" customHeight="false" outlineLevel="0" collapsed="false">
      <c r="A164" s="10" t="str">
        <f aca="false">'템플릿 문항'!A163</f>
        <v>Q160</v>
      </c>
      <c r="B164" s="10" t="str">
        <f aca="false">'템플릿 문항'!E163</f>
        <v>{지자체} 건축 허가 처리 기간이 얼마나 되나요?</v>
      </c>
      <c r="C164" s="10" t="str">
        <f aca="false">'템플릿 문항'!H163</f>
        <v>중</v>
      </c>
      <c r="D164" s="20"/>
      <c r="E164" s="20"/>
      <c r="F164" s="21"/>
      <c r="G164" s="21"/>
      <c r="H164" s="21"/>
      <c r="I164" s="21" t="n">
        <v>5</v>
      </c>
      <c r="J164" s="20"/>
      <c r="K164" s="10" t="str">
        <f aca="false">IF(OR(D164="",E164=""),"",IF(AND(D164="적합",E164="적합"),"통과","미달"))</f>
        <v/>
      </c>
      <c r="L164" s="10" t="str">
        <f aca="false">IF(F164="","",IF(F164&gt;='검증 기준'!$B$5,"통과","미달"))</f>
        <v/>
      </c>
      <c r="M164" s="10" t="str">
        <f aca="false">IF(G164="","",IF(G164&lt;='검증 기준'!$B$6,"통과","불안정"))</f>
        <v/>
      </c>
      <c r="N164" s="10" t="str">
        <f aca="false">IF(OR(H164="",I164=""),"",IF(OR(AND(H164&gt;='검증 기준'!$B$7,H164&lt;=I164-'검증 기준'!$B$8),C164="고"),"통과","예비"))</f>
        <v/>
      </c>
      <c r="O164" s="10" t="str">
        <f aca="false">IF(J164="예","공급 공백",IF(OR(K164="",L164="",M164="",N164=""),"",IF(AND(K164="통과",L164="통과",N164="통과"),IF(M164="통과","패널","패널(불안정)"),IF(N164="예비","예비","제외"))))</f>
        <v/>
      </c>
    </row>
    <row r="165" customFormat="false" ht="15" hidden="false" customHeight="false" outlineLevel="0" collapsed="false">
      <c r="A165" s="10" t="str">
        <f aca="false">'템플릿 문항'!A164</f>
        <v>Q161</v>
      </c>
      <c r="B165" s="10" t="str">
        <f aca="false">'템플릿 문항'!E164</f>
        <v>{지자체} 건축과 전화번호가 뭔가요?</v>
      </c>
      <c r="C165" s="10" t="str">
        <f aca="false">'템플릿 문항'!H164</f>
        <v>중</v>
      </c>
      <c r="D165" s="20"/>
      <c r="E165" s="20"/>
      <c r="F165" s="21"/>
      <c r="G165" s="21"/>
      <c r="H165" s="21"/>
      <c r="I165" s="21" t="n">
        <v>5</v>
      </c>
      <c r="J165" s="20"/>
      <c r="K165" s="10" t="str">
        <f aca="false">IF(OR(D165="",E165=""),"",IF(AND(D165="적합",E165="적합"),"통과","미달"))</f>
        <v/>
      </c>
      <c r="L165" s="10" t="str">
        <f aca="false">IF(F165="","",IF(F165&gt;='검증 기준'!$B$5,"통과","미달"))</f>
        <v/>
      </c>
      <c r="M165" s="10" t="str">
        <f aca="false">IF(G165="","",IF(G165&lt;='검증 기준'!$B$6,"통과","불안정"))</f>
        <v/>
      </c>
      <c r="N165" s="10" t="str">
        <f aca="false">IF(OR(H165="",I165=""),"",IF(OR(AND(H165&gt;='검증 기준'!$B$7,H165&lt;=I165-'검증 기준'!$B$8),C165="고"),"통과","예비"))</f>
        <v/>
      </c>
      <c r="O165" s="10" t="str">
        <f aca="false">IF(J165="예","공급 공백",IF(OR(K165="",L165="",M165="",N165=""),"",IF(AND(K165="통과",L165="통과",N165="통과"),IF(M165="통과","패널","패널(불안정)"),IF(N165="예비","예비","제외"))))</f>
        <v/>
      </c>
    </row>
    <row r="166" customFormat="false" ht="15" hidden="false" customHeight="false" outlineLevel="0" collapsed="false">
      <c r="A166" s="10" t="str">
        <f aca="false">'템플릿 문항'!A165</f>
        <v>Q162</v>
      </c>
      <c r="B166" s="10" t="str">
        <f aca="false">'템플릿 문항'!E165</f>
        <v>{지자체} 불법 건축물 신고는 어떻게 하나요?</v>
      </c>
      <c r="C166" s="10" t="str">
        <f aca="false">'템플릿 문항'!H165</f>
        <v>중</v>
      </c>
      <c r="D166" s="20"/>
      <c r="E166" s="20"/>
      <c r="F166" s="21"/>
      <c r="G166" s="21"/>
      <c r="H166" s="21"/>
      <c r="I166" s="21" t="n">
        <v>5</v>
      </c>
      <c r="J166" s="20"/>
      <c r="K166" s="10" t="str">
        <f aca="false">IF(OR(D166="",E166=""),"",IF(AND(D166="적합",E166="적합"),"통과","미달"))</f>
        <v/>
      </c>
      <c r="L166" s="10" t="str">
        <f aca="false">IF(F166="","",IF(F166&gt;='검증 기준'!$B$5,"통과","미달"))</f>
        <v/>
      </c>
      <c r="M166" s="10" t="str">
        <f aca="false">IF(G166="","",IF(G166&lt;='검증 기준'!$B$6,"통과","불안정"))</f>
        <v/>
      </c>
      <c r="N166" s="10" t="str">
        <f aca="false">IF(OR(H166="",I166=""),"",IF(OR(AND(H166&gt;='검증 기준'!$B$7,H166&lt;=I166-'검증 기준'!$B$8),C166="고"),"통과","예비"))</f>
        <v/>
      </c>
      <c r="O166" s="10" t="str">
        <f aca="false">IF(J166="예","공급 공백",IF(OR(K166="",L166="",M166="",N166=""),"",IF(AND(K166="통과",L166="통과",N166="통과"),IF(M166="통과","패널","패널(불안정)"),IF(N166="예비","예비","제외"))))</f>
        <v/>
      </c>
    </row>
    <row r="167" customFormat="false" ht="15" hidden="false" customHeight="false" outlineLevel="0" collapsed="false">
      <c r="A167" s="10" t="str">
        <f aca="false">'템플릿 문항'!A166</f>
        <v>Q163</v>
      </c>
      <c r="B167" s="10" t="str">
        <f aca="false">'템플릿 문항'!E166</f>
        <v>{지자체} 공동주택 지원 사업 대상이 뭔가요?</v>
      </c>
      <c r="C167" s="10" t="str">
        <f aca="false">'템플릿 문항'!H166</f>
        <v>중</v>
      </c>
      <c r="D167" s="20"/>
      <c r="E167" s="20"/>
      <c r="F167" s="21"/>
      <c r="G167" s="21"/>
      <c r="H167" s="21"/>
      <c r="I167" s="21" t="n">
        <v>5</v>
      </c>
      <c r="J167" s="20"/>
      <c r="K167" s="10" t="str">
        <f aca="false">IF(OR(D167="",E167=""),"",IF(AND(D167="적합",E167="적합"),"통과","미달"))</f>
        <v/>
      </c>
      <c r="L167" s="10" t="str">
        <f aca="false">IF(F167="","",IF(F167&gt;='검증 기준'!$B$5,"통과","미달"))</f>
        <v/>
      </c>
      <c r="M167" s="10" t="str">
        <f aca="false">IF(G167="","",IF(G167&lt;='검증 기준'!$B$6,"통과","불안정"))</f>
        <v/>
      </c>
      <c r="N167" s="10" t="str">
        <f aca="false">IF(OR(H167="",I167=""),"",IF(OR(AND(H167&gt;='검증 기준'!$B$7,H167&lt;=I167-'검증 기준'!$B$8),C167="고"),"통과","예비"))</f>
        <v/>
      </c>
      <c r="O167" s="10" t="str">
        <f aca="false">IF(J167="예","공급 공백",IF(OR(K167="",L167="",M167="",N167=""),"",IF(AND(K167="통과",L167="통과",N167="통과"),IF(M167="통과","패널","패널(불안정)"),IF(N167="예비","예비","제외"))))</f>
        <v/>
      </c>
    </row>
    <row r="168" customFormat="false" ht="15" hidden="false" customHeight="false" outlineLevel="0" collapsed="false">
      <c r="A168" s="10" t="str">
        <f aca="false">'템플릿 문항'!A167</f>
        <v>Q164</v>
      </c>
      <c r="B168" s="10" t="str">
        <f aca="false">'템플릿 문항'!E167</f>
        <v>{지자체} 공동주택 지원 신청 시기가 언제인가요?</v>
      </c>
      <c r="C168" s="10" t="str">
        <f aca="false">'템플릿 문항'!H167</f>
        <v>중</v>
      </c>
      <c r="D168" s="20"/>
      <c r="E168" s="20"/>
      <c r="F168" s="21"/>
      <c r="G168" s="21"/>
      <c r="H168" s="21"/>
      <c r="I168" s="21" t="n">
        <v>5</v>
      </c>
      <c r="J168" s="20"/>
      <c r="K168" s="10" t="str">
        <f aca="false">IF(OR(D168="",E168=""),"",IF(AND(D168="적합",E168="적합"),"통과","미달"))</f>
        <v/>
      </c>
      <c r="L168" s="10" t="str">
        <f aca="false">IF(F168="","",IF(F168&gt;='검증 기준'!$B$5,"통과","미달"))</f>
        <v/>
      </c>
      <c r="M168" s="10" t="str">
        <f aca="false">IF(G168="","",IF(G168&lt;='검증 기준'!$B$6,"통과","불안정"))</f>
        <v/>
      </c>
      <c r="N168" s="10" t="str">
        <f aca="false">IF(OR(H168="",I168=""),"",IF(OR(AND(H168&gt;='검증 기준'!$B$7,H168&lt;=I168-'검증 기준'!$B$8),C168="고"),"통과","예비"))</f>
        <v/>
      </c>
      <c r="O168" s="10" t="str">
        <f aca="false">IF(J168="예","공급 공백",IF(OR(K168="",L168="",M168="",N168=""),"",IF(AND(K168="통과",L168="통과",N168="통과"),IF(M168="통과","패널","패널(불안정)"),IF(N168="예비","예비","제외"))))</f>
        <v/>
      </c>
    </row>
    <row r="169" customFormat="false" ht="15" hidden="false" customHeight="false" outlineLevel="0" collapsed="false">
      <c r="A169" s="10" t="str">
        <f aca="false">'템플릿 문항'!A168</f>
        <v>Q165</v>
      </c>
      <c r="B169" s="10" t="str">
        <f aca="false">'템플릿 문항'!E168</f>
        <v>{지자체} 아파트 관리비 분쟁 상담은 어디서 하나요?</v>
      </c>
      <c r="C169" s="10" t="str">
        <f aca="false">'템플릿 문항'!H168</f>
        <v>중</v>
      </c>
      <c r="D169" s="20"/>
      <c r="E169" s="20"/>
      <c r="F169" s="21"/>
      <c r="G169" s="21"/>
      <c r="H169" s="21"/>
      <c r="I169" s="21" t="n">
        <v>5</v>
      </c>
      <c r="J169" s="20"/>
      <c r="K169" s="10" t="str">
        <f aca="false">IF(OR(D169="",E169=""),"",IF(AND(D169="적합",E169="적합"),"통과","미달"))</f>
        <v/>
      </c>
      <c r="L169" s="10" t="str">
        <f aca="false">IF(F169="","",IF(F169&gt;='검증 기준'!$B$5,"통과","미달"))</f>
        <v/>
      </c>
      <c r="M169" s="10" t="str">
        <f aca="false">IF(G169="","",IF(G169&lt;='검증 기준'!$B$6,"통과","불안정"))</f>
        <v/>
      </c>
      <c r="N169" s="10" t="str">
        <f aca="false">IF(OR(H169="",I169=""),"",IF(OR(AND(H169&gt;='검증 기준'!$B$7,H169&lt;=I169-'검증 기준'!$B$8),C169="고"),"통과","예비"))</f>
        <v/>
      </c>
      <c r="O169" s="10" t="str">
        <f aca="false">IF(J169="예","공급 공백",IF(OR(K169="",L169="",M169="",N169=""),"",IF(AND(K169="통과",L169="통과",N169="통과"),IF(M169="통과","패널","패널(불안정)"),IF(N169="예비","예비","제외"))))</f>
        <v/>
      </c>
    </row>
    <row r="170" customFormat="false" ht="15" hidden="false" customHeight="false" outlineLevel="0" collapsed="false">
      <c r="A170" s="10" t="str">
        <f aca="false">'템플릿 문항'!A169</f>
        <v>Q166</v>
      </c>
      <c r="B170" s="10" t="str">
        <f aca="false">'템플릿 문항'!E169</f>
        <v>{지자체} 공동주택 관리 담당 부서 전화번호 알려주세요</v>
      </c>
      <c r="C170" s="10" t="str">
        <f aca="false">'템플릿 문항'!H169</f>
        <v>저</v>
      </c>
      <c r="D170" s="20"/>
      <c r="E170" s="20"/>
      <c r="F170" s="21"/>
      <c r="G170" s="21"/>
      <c r="H170" s="21"/>
      <c r="I170" s="21" t="n">
        <v>5</v>
      </c>
      <c r="J170" s="20"/>
      <c r="K170" s="10" t="str">
        <f aca="false">IF(OR(D170="",E170=""),"",IF(AND(D170="적합",E170="적합"),"통과","미달"))</f>
        <v/>
      </c>
      <c r="L170" s="10" t="str">
        <f aca="false">IF(F170="","",IF(F170&gt;='검증 기준'!$B$5,"통과","미달"))</f>
        <v/>
      </c>
      <c r="M170" s="10" t="str">
        <f aca="false">IF(G170="","",IF(G170&lt;='검증 기준'!$B$6,"통과","불안정"))</f>
        <v/>
      </c>
      <c r="N170" s="10" t="str">
        <f aca="false">IF(OR(H170="",I170=""),"",IF(OR(AND(H170&gt;='검증 기준'!$B$7,H170&lt;=I170-'검증 기준'!$B$8),C170="고"),"통과","예비"))</f>
        <v/>
      </c>
      <c r="O170" s="10" t="str">
        <f aca="false">IF(J170="예","공급 공백",IF(OR(K170="",L170="",M170="",N170=""),"",IF(AND(K170="통과",L170="통과",N170="통과"),IF(M170="통과","패널","패널(불안정)"),IF(N170="예비","예비","제외"))))</f>
        <v/>
      </c>
    </row>
    <row r="171" customFormat="false" ht="15" hidden="false" customHeight="false" outlineLevel="0" collapsed="false">
      <c r="A171" s="10" t="str">
        <f aca="false">'템플릿 문항'!A170</f>
        <v>Q167</v>
      </c>
      <c r="B171" s="10" t="str">
        <f aca="false">'템플릿 문항'!E170</f>
        <v>{지자체} 전세 피해 상담은 어디서 받나요?</v>
      </c>
      <c r="C171" s="10" t="str">
        <f aca="false">'템플릿 문항'!H170</f>
        <v>고</v>
      </c>
      <c r="D171" s="20"/>
      <c r="E171" s="20"/>
      <c r="F171" s="21"/>
      <c r="G171" s="21"/>
      <c r="H171" s="21"/>
      <c r="I171" s="21" t="n">
        <v>5</v>
      </c>
      <c r="J171" s="20"/>
      <c r="K171" s="10" t="str">
        <f aca="false">IF(OR(D171="",E171=""),"",IF(AND(D171="적합",E171="적합"),"통과","미달"))</f>
        <v/>
      </c>
      <c r="L171" s="10" t="str">
        <f aca="false">IF(F171="","",IF(F171&gt;='검증 기준'!$B$5,"통과","미달"))</f>
        <v/>
      </c>
      <c r="M171" s="10" t="str">
        <f aca="false">IF(G171="","",IF(G171&lt;='검증 기준'!$B$6,"통과","불안정"))</f>
        <v/>
      </c>
      <c r="N171" s="10" t="str">
        <f aca="false">IF(OR(H171="",I171=""),"",IF(OR(AND(H171&gt;='검증 기준'!$B$7,H171&lt;=I171-'검증 기준'!$B$8),C171="고"),"통과","예비"))</f>
        <v/>
      </c>
      <c r="O171" s="10" t="str">
        <f aca="false">IF(J171="예","공급 공백",IF(OR(K171="",L171="",M171="",N171=""),"",IF(AND(K171="통과",L171="통과",N171="통과"),IF(M171="통과","패널","패널(불안정)"),IF(N171="예비","예비","제외"))))</f>
        <v/>
      </c>
    </row>
    <row r="172" customFormat="false" ht="15" hidden="false" customHeight="false" outlineLevel="0" collapsed="false">
      <c r="A172" s="10" t="str">
        <f aca="false">'템플릿 문항'!A171</f>
        <v>Q168</v>
      </c>
      <c r="B172" s="10" t="str">
        <f aca="false">'템플릿 문항'!E171</f>
        <v>{지자체} 전세사기 피해자 지원 내용이 뭔가요?</v>
      </c>
      <c r="C172" s="10" t="str">
        <f aca="false">'템플릿 문항'!H171</f>
        <v>고</v>
      </c>
      <c r="D172" s="20"/>
      <c r="E172" s="20"/>
      <c r="F172" s="21"/>
      <c r="G172" s="21"/>
      <c r="H172" s="21"/>
      <c r="I172" s="21" t="n">
        <v>5</v>
      </c>
      <c r="J172" s="20"/>
      <c r="K172" s="10" t="str">
        <f aca="false">IF(OR(D172="",E172=""),"",IF(AND(D172="적합",E172="적합"),"통과","미달"))</f>
        <v/>
      </c>
      <c r="L172" s="10" t="str">
        <f aca="false">IF(F172="","",IF(F172&gt;='검증 기준'!$B$5,"통과","미달"))</f>
        <v/>
      </c>
      <c r="M172" s="10" t="str">
        <f aca="false">IF(G172="","",IF(G172&lt;='검증 기준'!$B$6,"통과","불안정"))</f>
        <v/>
      </c>
      <c r="N172" s="10" t="str">
        <f aca="false">IF(OR(H172="",I172=""),"",IF(OR(AND(H172&gt;='검증 기준'!$B$7,H172&lt;=I172-'검증 기준'!$B$8),C172="고"),"통과","예비"))</f>
        <v/>
      </c>
      <c r="O172" s="10" t="str">
        <f aca="false">IF(J172="예","공급 공백",IF(OR(K172="",L172="",M172="",N172=""),"",IF(AND(K172="통과",L172="통과",N172="통과"),IF(M172="통과","패널","패널(불안정)"),IF(N172="예비","예비","제외"))))</f>
        <v/>
      </c>
    </row>
    <row r="173" customFormat="false" ht="15" hidden="false" customHeight="false" outlineLevel="0" collapsed="false">
      <c r="A173" s="10" t="str">
        <f aca="false">'템플릿 문항'!A172</f>
        <v>Q169</v>
      </c>
      <c r="B173" s="10" t="str">
        <f aca="false">'템플릿 문항'!E172</f>
        <v>{지자체} 전세 피해 상담 전화번호가 뭔가요?</v>
      </c>
      <c r="C173" s="10" t="str">
        <f aca="false">'템플릿 문항'!H172</f>
        <v>고</v>
      </c>
      <c r="D173" s="20"/>
      <c r="E173" s="20"/>
      <c r="F173" s="21"/>
      <c r="G173" s="21"/>
      <c r="H173" s="21"/>
      <c r="I173" s="21" t="n">
        <v>5</v>
      </c>
      <c r="J173" s="20"/>
      <c r="K173" s="10" t="str">
        <f aca="false">IF(OR(D173="",E173=""),"",IF(AND(D173="적합",E173="적합"),"통과","미달"))</f>
        <v/>
      </c>
      <c r="L173" s="10" t="str">
        <f aca="false">IF(F173="","",IF(F173&gt;='검증 기준'!$B$5,"통과","미달"))</f>
        <v/>
      </c>
      <c r="M173" s="10" t="str">
        <f aca="false">IF(G173="","",IF(G173&lt;='검증 기준'!$B$6,"통과","불안정"))</f>
        <v/>
      </c>
      <c r="N173" s="10" t="str">
        <f aca="false">IF(OR(H173="",I173=""),"",IF(OR(AND(H173&gt;='검증 기준'!$B$7,H173&lt;=I173-'검증 기준'!$B$8),C173="고"),"통과","예비"))</f>
        <v/>
      </c>
      <c r="O173" s="10" t="str">
        <f aca="false">IF(J173="예","공급 공백",IF(OR(K173="",L173="",M173="",N173=""),"",IF(AND(K173="통과",L173="통과",N173="통과"),IF(M173="통과","패널","패널(불안정)"),IF(N173="예비","예비","제외"))))</f>
        <v/>
      </c>
    </row>
    <row r="174" customFormat="false" ht="15" hidden="false" customHeight="false" outlineLevel="0" collapsed="false">
      <c r="A174" s="10" t="str">
        <f aca="false">'템플릿 문항'!A173</f>
        <v>Q170</v>
      </c>
      <c r="B174" s="10" t="str">
        <f aca="false">'템플릿 문항'!E173</f>
        <v>{지자체} 주거복지센터는 어디에 있나요?</v>
      </c>
      <c r="C174" s="10" t="str">
        <f aca="false">'템플릿 문항'!H173</f>
        <v>고</v>
      </c>
      <c r="D174" s="20"/>
      <c r="E174" s="20"/>
      <c r="F174" s="21"/>
      <c r="G174" s="21"/>
      <c r="H174" s="21"/>
      <c r="I174" s="21" t="n">
        <v>5</v>
      </c>
      <c r="J174" s="20"/>
      <c r="K174" s="10" t="str">
        <f aca="false">IF(OR(D174="",E174=""),"",IF(AND(D174="적합",E174="적합"),"통과","미달"))</f>
        <v/>
      </c>
      <c r="L174" s="10" t="str">
        <f aca="false">IF(F174="","",IF(F174&gt;='검증 기준'!$B$5,"통과","미달"))</f>
        <v/>
      </c>
      <c r="M174" s="10" t="str">
        <f aca="false">IF(G174="","",IF(G174&lt;='검증 기준'!$B$6,"통과","불안정"))</f>
        <v/>
      </c>
      <c r="N174" s="10" t="str">
        <f aca="false">IF(OR(H174="",I174=""),"",IF(OR(AND(H174&gt;='검증 기준'!$B$7,H174&lt;=I174-'검증 기준'!$B$8),C174="고"),"통과","예비"))</f>
        <v/>
      </c>
      <c r="O174" s="10" t="str">
        <f aca="false">IF(J174="예","공급 공백",IF(OR(K174="",L174="",M174="",N174=""),"",IF(AND(K174="통과",L174="통과",N174="통과"),IF(M174="통과","패널","패널(불안정)"),IF(N174="예비","예비","제외"))))</f>
        <v/>
      </c>
    </row>
    <row r="175" customFormat="false" ht="15" hidden="false" customHeight="false" outlineLevel="0" collapsed="false">
      <c r="A175" s="10" t="str">
        <f aca="false">'템플릿 문항'!A174</f>
        <v>Q171</v>
      </c>
      <c r="B175" s="10" t="str">
        <f aca="false">'템플릿 문항'!E174</f>
        <v>{지자체} 주거급여 신청은 어디서 하나요?</v>
      </c>
      <c r="C175" s="10" t="str">
        <f aca="false">'템플릿 문항'!H174</f>
        <v>고</v>
      </c>
      <c r="D175" s="20"/>
      <c r="E175" s="20"/>
      <c r="F175" s="21"/>
      <c r="G175" s="21"/>
      <c r="H175" s="21"/>
      <c r="I175" s="21" t="n">
        <v>5</v>
      </c>
      <c r="J175" s="20"/>
      <c r="K175" s="10" t="str">
        <f aca="false">IF(OR(D175="",E175=""),"",IF(AND(D175="적합",E175="적합"),"통과","미달"))</f>
        <v/>
      </c>
      <c r="L175" s="10" t="str">
        <f aca="false">IF(F175="","",IF(F175&gt;='검증 기준'!$B$5,"통과","미달"))</f>
        <v/>
      </c>
      <c r="M175" s="10" t="str">
        <f aca="false">IF(G175="","",IF(G175&lt;='검증 기준'!$B$6,"통과","불안정"))</f>
        <v/>
      </c>
      <c r="N175" s="10" t="str">
        <f aca="false">IF(OR(H175="",I175=""),"",IF(OR(AND(H175&gt;='검증 기준'!$B$7,H175&lt;=I175-'검증 기준'!$B$8),C175="고"),"통과","예비"))</f>
        <v/>
      </c>
      <c r="O175" s="10" t="str">
        <f aca="false">IF(J175="예","공급 공백",IF(OR(K175="",L175="",M175="",N175=""),"",IF(AND(K175="통과",L175="통과",N175="통과"),IF(M175="통과","패널","패널(불안정)"),IF(N175="예비","예비","제외"))))</f>
        <v/>
      </c>
    </row>
    <row r="176" customFormat="false" ht="15" hidden="false" customHeight="false" outlineLevel="0" collapsed="false">
      <c r="A176" s="10" t="str">
        <f aca="false">'템플릿 문항'!A175</f>
        <v>Q172</v>
      </c>
      <c r="B176" s="10" t="str">
        <f aca="false">'템플릿 문항'!E175</f>
        <v>{지자체} 공공임대주택 모집 공고는 어디서 확인하나요?</v>
      </c>
      <c r="C176" s="10" t="str">
        <f aca="false">'템플릿 문항'!H175</f>
        <v>고</v>
      </c>
      <c r="D176" s="20"/>
      <c r="E176" s="20"/>
      <c r="F176" s="21"/>
      <c r="G176" s="21"/>
      <c r="H176" s="21"/>
      <c r="I176" s="21" t="n">
        <v>5</v>
      </c>
      <c r="J176" s="20"/>
      <c r="K176" s="10" t="str">
        <f aca="false">IF(OR(D176="",E176=""),"",IF(AND(D176="적합",E176="적합"),"통과","미달"))</f>
        <v/>
      </c>
      <c r="L176" s="10" t="str">
        <f aca="false">IF(F176="","",IF(F176&gt;='검증 기준'!$B$5,"통과","미달"))</f>
        <v/>
      </c>
      <c r="M176" s="10" t="str">
        <f aca="false">IF(G176="","",IF(G176&lt;='검증 기준'!$B$6,"통과","불안정"))</f>
        <v/>
      </c>
      <c r="N176" s="10" t="str">
        <f aca="false">IF(OR(H176="",I176=""),"",IF(OR(AND(H176&gt;='검증 기준'!$B$7,H176&lt;=I176-'검증 기준'!$B$8),C176="고"),"통과","예비"))</f>
        <v/>
      </c>
      <c r="O176" s="10" t="str">
        <f aca="false">IF(J176="예","공급 공백",IF(OR(K176="",L176="",M176="",N176=""),"",IF(AND(K176="통과",L176="통과",N176="통과"),IF(M176="통과","패널","패널(불안정)"),IF(N176="예비","예비","제외"))))</f>
        <v/>
      </c>
    </row>
    <row r="177" customFormat="false" ht="15" hidden="false" customHeight="false" outlineLevel="0" collapsed="false">
      <c r="A177" s="10" t="str">
        <f aca="false">'템플릿 문항'!A176</f>
        <v>Q173</v>
      </c>
      <c r="B177" s="10" t="str">
        <f aca="false">'템플릿 문항'!E176</f>
        <v>{지자체} 청년 월세 지원 신청 자격이 뭔가요?</v>
      </c>
      <c r="C177" s="10" t="str">
        <f aca="false">'템플릿 문항'!H176</f>
        <v>고</v>
      </c>
      <c r="D177" s="20"/>
      <c r="E177" s="20"/>
      <c r="F177" s="21"/>
      <c r="G177" s="21"/>
      <c r="H177" s="21"/>
      <c r="I177" s="21" t="n">
        <v>5</v>
      </c>
      <c r="J177" s="20"/>
      <c r="K177" s="10" t="str">
        <f aca="false">IF(OR(D177="",E177=""),"",IF(AND(D177="적합",E177="적합"),"통과","미달"))</f>
        <v/>
      </c>
      <c r="L177" s="10" t="str">
        <f aca="false">IF(F177="","",IF(F177&gt;='검증 기준'!$B$5,"통과","미달"))</f>
        <v/>
      </c>
      <c r="M177" s="10" t="str">
        <f aca="false">IF(G177="","",IF(G177&lt;='검증 기준'!$B$6,"통과","불안정"))</f>
        <v/>
      </c>
      <c r="N177" s="10" t="str">
        <f aca="false">IF(OR(H177="",I177=""),"",IF(OR(AND(H177&gt;='검증 기준'!$B$7,H177&lt;=I177-'검증 기준'!$B$8),C177="고"),"통과","예비"))</f>
        <v/>
      </c>
      <c r="O177" s="10" t="str">
        <f aca="false">IF(J177="예","공급 공백",IF(OR(K177="",L177="",M177="",N177=""),"",IF(AND(K177="통과",L177="통과",N177="통과"),IF(M177="통과","패널","패널(불안정)"),IF(N177="예비","예비","제외"))))</f>
        <v/>
      </c>
    </row>
    <row r="178" customFormat="false" ht="15" hidden="false" customHeight="false" outlineLevel="0" collapsed="false">
      <c r="A178" s="10" t="str">
        <f aca="false">'템플릿 문항'!A177</f>
        <v>Q174</v>
      </c>
      <c r="B178" s="10" t="str">
        <f aca="false">'템플릿 문항'!E177</f>
        <v>{지자체} 청년 월세 지원 금액이 얼마인가요?</v>
      </c>
      <c r="C178" s="10" t="str">
        <f aca="false">'템플릿 문항'!H177</f>
        <v>고</v>
      </c>
      <c r="D178" s="20"/>
      <c r="E178" s="20"/>
      <c r="F178" s="21"/>
      <c r="G178" s="21"/>
      <c r="H178" s="21"/>
      <c r="I178" s="21" t="n">
        <v>5</v>
      </c>
      <c r="J178" s="20"/>
      <c r="K178" s="10" t="str">
        <f aca="false">IF(OR(D178="",E178=""),"",IF(AND(D178="적합",E178="적합"),"통과","미달"))</f>
        <v/>
      </c>
      <c r="L178" s="10" t="str">
        <f aca="false">IF(F178="","",IF(F178&gt;='검증 기준'!$B$5,"통과","미달"))</f>
        <v/>
      </c>
      <c r="M178" s="10" t="str">
        <f aca="false">IF(G178="","",IF(G178&lt;='검증 기준'!$B$6,"통과","불안정"))</f>
        <v/>
      </c>
      <c r="N178" s="10" t="str">
        <f aca="false">IF(OR(H178="",I178=""),"",IF(OR(AND(H178&gt;='검증 기준'!$B$7,H178&lt;=I178-'검증 기준'!$B$8),C178="고"),"통과","예비"))</f>
        <v/>
      </c>
      <c r="O178" s="10" t="str">
        <f aca="false">IF(J178="예","공급 공백",IF(OR(K178="",L178="",M178="",N178=""),"",IF(AND(K178="통과",L178="통과",N178="통과"),IF(M178="통과","패널","패널(불안정)"),IF(N178="예비","예비","제외"))))</f>
        <v/>
      </c>
    </row>
    <row r="179" customFormat="false" ht="15" hidden="false" customHeight="false" outlineLevel="0" collapsed="false">
      <c r="A179" s="10" t="str">
        <f aca="false">'템플릿 문항'!A178</f>
        <v>Q175</v>
      </c>
      <c r="B179" s="10" t="str">
        <f aca="false">'템플릿 문항'!E178</f>
        <v>{지자체} 신혼부부 주거 지원 사업이 있나요?</v>
      </c>
      <c r="C179" s="10" t="str">
        <f aca="false">'템플릿 문항'!H178</f>
        <v>중</v>
      </c>
      <c r="D179" s="20"/>
      <c r="E179" s="20"/>
      <c r="F179" s="21"/>
      <c r="G179" s="21"/>
      <c r="H179" s="21"/>
      <c r="I179" s="21" t="n">
        <v>5</v>
      </c>
      <c r="J179" s="20"/>
      <c r="K179" s="10" t="str">
        <f aca="false">IF(OR(D179="",E179=""),"",IF(AND(D179="적합",E179="적합"),"통과","미달"))</f>
        <v/>
      </c>
      <c r="L179" s="10" t="str">
        <f aca="false">IF(F179="","",IF(F179&gt;='검증 기준'!$B$5,"통과","미달"))</f>
        <v/>
      </c>
      <c r="M179" s="10" t="str">
        <f aca="false">IF(G179="","",IF(G179&lt;='검증 기준'!$B$6,"통과","불안정"))</f>
        <v/>
      </c>
      <c r="N179" s="10" t="str">
        <f aca="false">IF(OR(H179="",I179=""),"",IF(OR(AND(H179&gt;='검증 기준'!$B$7,H179&lt;=I179-'검증 기준'!$B$8),C179="고"),"통과","예비"))</f>
        <v/>
      </c>
      <c r="O179" s="10" t="str">
        <f aca="false">IF(J179="예","공급 공백",IF(OR(K179="",L179="",M179="",N179=""),"",IF(AND(K179="통과",L179="통과",N179="통과"),IF(M179="통과","패널","패널(불안정)"),IF(N179="예비","예비","제외"))))</f>
        <v/>
      </c>
    </row>
    <row r="180" customFormat="false" ht="15" hidden="false" customHeight="false" outlineLevel="0" collapsed="false">
      <c r="A180" s="10" t="str">
        <f aca="false">'템플릿 문항'!A179</f>
        <v>Q176</v>
      </c>
      <c r="B180" s="10" t="str">
        <f aca="false">'템플릿 문항'!E179</f>
        <v>{지자체} 소상공인 지원 사업 뭐가 있나요?</v>
      </c>
      <c r="C180" s="10" t="str">
        <f aca="false">'템플릿 문항'!H179</f>
        <v>중</v>
      </c>
      <c r="D180" s="20"/>
      <c r="E180" s="20"/>
      <c r="F180" s="21"/>
      <c r="G180" s="21"/>
      <c r="H180" s="21"/>
      <c r="I180" s="21" t="n">
        <v>5</v>
      </c>
      <c r="J180" s="20"/>
      <c r="K180" s="10" t="str">
        <f aca="false">IF(OR(D180="",E180=""),"",IF(AND(D180="적합",E180="적합"),"통과","미달"))</f>
        <v/>
      </c>
      <c r="L180" s="10" t="str">
        <f aca="false">IF(F180="","",IF(F180&gt;='검증 기준'!$B$5,"통과","미달"))</f>
        <v/>
      </c>
      <c r="M180" s="10" t="str">
        <f aca="false">IF(G180="","",IF(G180&lt;='검증 기준'!$B$6,"통과","불안정"))</f>
        <v/>
      </c>
      <c r="N180" s="10" t="str">
        <f aca="false">IF(OR(H180="",I180=""),"",IF(OR(AND(H180&gt;='검증 기준'!$B$7,H180&lt;=I180-'검증 기준'!$B$8),C180="고"),"통과","예비"))</f>
        <v/>
      </c>
      <c r="O180" s="10" t="str">
        <f aca="false">IF(J180="예","공급 공백",IF(OR(K180="",L180="",M180="",N180=""),"",IF(AND(K180="통과",L180="통과",N180="통과"),IF(M180="통과","패널","패널(불안정)"),IF(N180="예비","예비","제외"))))</f>
        <v/>
      </c>
    </row>
    <row r="181" customFormat="false" ht="15" hidden="false" customHeight="false" outlineLevel="0" collapsed="false">
      <c r="A181" s="10" t="str">
        <f aca="false">'템플릿 문항'!A180</f>
        <v>Q177</v>
      </c>
      <c r="B181" s="10" t="str">
        <f aca="false">'템플릿 문항'!E180</f>
        <v>{지자체} 소상공인 지원 신청은 어디서 하나요?</v>
      </c>
      <c r="C181" s="10" t="str">
        <f aca="false">'템플릿 문항'!H180</f>
        <v>중</v>
      </c>
      <c r="D181" s="20"/>
      <c r="E181" s="20"/>
      <c r="F181" s="21"/>
      <c r="G181" s="21"/>
      <c r="H181" s="21"/>
      <c r="I181" s="21" t="n">
        <v>5</v>
      </c>
      <c r="J181" s="20"/>
      <c r="K181" s="10" t="str">
        <f aca="false">IF(OR(D181="",E181=""),"",IF(AND(D181="적합",E181="적합"),"통과","미달"))</f>
        <v/>
      </c>
      <c r="L181" s="10" t="str">
        <f aca="false">IF(F181="","",IF(F181&gt;='검증 기준'!$B$5,"통과","미달"))</f>
        <v/>
      </c>
      <c r="M181" s="10" t="str">
        <f aca="false">IF(G181="","",IF(G181&lt;='검증 기준'!$B$6,"통과","불안정"))</f>
        <v/>
      </c>
      <c r="N181" s="10" t="str">
        <f aca="false">IF(OR(H181="",I181=""),"",IF(OR(AND(H181&gt;='검증 기준'!$B$7,H181&lt;=I181-'검증 기준'!$B$8),C181="고"),"통과","예비"))</f>
        <v/>
      </c>
      <c r="O181" s="10" t="str">
        <f aca="false">IF(J181="예","공급 공백",IF(OR(K181="",L181="",M181="",N181=""),"",IF(AND(K181="통과",L181="통과",N181="통과"),IF(M181="통과","패널","패널(불안정)"),IF(N181="예비","예비","제외"))))</f>
        <v/>
      </c>
    </row>
    <row r="182" customFormat="false" ht="15" hidden="false" customHeight="false" outlineLevel="0" collapsed="false">
      <c r="A182" s="10" t="str">
        <f aca="false">'템플릿 문항'!A181</f>
        <v>Q178</v>
      </c>
      <c r="B182" s="10" t="str">
        <f aca="false">'템플릿 문항'!E181</f>
        <v>{지자체} 소상공인 {지원항목} 지원 금액이 얼마인가요?</v>
      </c>
      <c r="C182" s="10" t="str">
        <f aca="false">'템플릿 문항'!H181</f>
        <v>중</v>
      </c>
      <c r="D182" s="20"/>
      <c r="E182" s="20"/>
      <c r="F182" s="21"/>
      <c r="G182" s="21"/>
      <c r="H182" s="21"/>
      <c r="I182" s="21" t="n">
        <v>5</v>
      </c>
      <c r="J182" s="20"/>
      <c r="K182" s="10" t="str">
        <f aca="false">IF(OR(D182="",E182=""),"",IF(AND(D182="적합",E182="적합"),"통과","미달"))</f>
        <v/>
      </c>
      <c r="L182" s="10" t="str">
        <f aca="false">IF(F182="","",IF(F182&gt;='검증 기준'!$B$5,"통과","미달"))</f>
        <v/>
      </c>
      <c r="M182" s="10" t="str">
        <f aca="false">IF(G182="","",IF(G182&lt;='검증 기준'!$B$6,"통과","불안정"))</f>
        <v/>
      </c>
      <c r="N182" s="10" t="str">
        <f aca="false">IF(OR(H182="",I182=""),"",IF(OR(AND(H182&gt;='검증 기준'!$B$7,H182&lt;=I182-'검증 기준'!$B$8),C182="고"),"통과","예비"))</f>
        <v/>
      </c>
      <c r="O182" s="10" t="str">
        <f aca="false">IF(J182="예","공급 공백",IF(OR(K182="",L182="",M182="",N182=""),"",IF(AND(K182="통과",L182="통과",N182="통과"),IF(M182="통과","패널","패널(불안정)"),IF(N182="예비","예비","제외"))))</f>
        <v/>
      </c>
    </row>
    <row r="183" customFormat="false" ht="15" hidden="false" customHeight="false" outlineLevel="0" collapsed="false">
      <c r="A183" s="10" t="str">
        <f aca="false">'템플릿 문항'!A182</f>
        <v>Q179</v>
      </c>
      <c r="B183" s="10" t="str">
        <f aca="false">'템플릿 문항'!E182</f>
        <v>{지자체} 경제과 전화번호가 뭔가요?</v>
      </c>
      <c r="C183" s="10" t="str">
        <f aca="false">'템플릿 문항'!H182</f>
        <v>중</v>
      </c>
      <c r="D183" s="20"/>
      <c r="E183" s="20"/>
      <c r="F183" s="21"/>
      <c r="G183" s="21"/>
      <c r="H183" s="21"/>
      <c r="I183" s="21" t="n">
        <v>5</v>
      </c>
      <c r="J183" s="20"/>
      <c r="K183" s="10" t="str">
        <f aca="false">IF(OR(D183="",E183=""),"",IF(AND(D183="적합",E183="적합"),"통과","미달"))</f>
        <v/>
      </c>
      <c r="L183" s="10" t="str">
        <f aca="false">IF(F183="","",IF(F183&gt;='검증 기준'!$B$5,"통과","미달"))</f>
        <v/>
      </c>
      <c r="M183" s="10" t="str">
        <f aca="false">IF(G183="","",IF(G183&lt;='검증 기준'!$B$6,"통과","불안정"))</f>
        <v/>
      </c>
      <c r="N183" s="10" t="str">
        <f aca="false">IF(OR(H183="",I183=""),"",IF(OR(AND(H183&gt;='검증 기준'!$B$7,H183&lt;=I183-'검증 기준'!$B$8),C183="고"),"통과","예비"))</f>
        <v/>
      </c>
      <c r="O183" s="10" t="str">
        <f aca="false">IF(J183="예","공급 공백",IF(OR(K183="",L183="",M183="",N183=""),"",IF(AND(K183="통과",L183="통과",N183="통과"),IF(M183="통과","패널","패널(불안정)"),IF(N183="예비","예비","제외"))))</f>
        <v/>
      </c>
    </row>
    <row r="184" customFormat="false" ht="15" hidden="false" customHeight="false" outlineLevel="0" collapsed="false">
      <c r="A184" s="10" t="str">
        <f aca="false">'템플릿 문항'!A183</f>
        <v>Q180</v>
      </c>
      <c r="B184" s="10" t="str">
        <f aca="false">'템플릿 문항'!E183</f>
        <v>{지자체} 일자리센터는 어디에 있나요?</v>
      </c>
      <c r="C184" s="10" t="str">
        <f aca="false">'템플릿 문항'!H183</f>
        <v>중</v>
      </c>
      <c r="D184" s="20"/>
      <c r="E184" s="20"/>
      <c r="F184" s="21"/>
      <c r="G184" s="21"/>
      <c r="H184" s="21"/>
      <c r="I184" s="21" t="n">
        <v>5</v>
      </c>
      <c r="J184" s="20"/>
      <c r="K184" s="10" t="str">
        <f aca="false">IF(OR(D184="",E184=""),"",IF(AND(D184="적합",E184="적합"),"통과","미달"))</f>
        <v/>
      </c>
      <c r="L184" s="10" t="str">
        <f aca="false">IF(F184="","",IF(F184&gt;='검증 기준'!$B$5,"통과","미달"))</f>
        <v/>
      </c>
      <c r="M184" s="10" t="str">
        <f aca="false">IF(G184="","",IF(G184&lt;='검증 기준'!$B$6,"통과","불안정"))</f>
        <v/>
      </c>
      <c r="N184" s="10" t="str">
        <f aca="false">IF(OR(H184="",I184=""),"",IF(OR(AND(H184&gt;='검증 기준'!$B$7,H184&lt;=I184-'검증 기준'!$B$8),C184="고"),"통과","예비"))</f>
        <v/>
      </c>
      <c r="O184" s="10" t="str">
        <f aca="false">IF(J184="예","공급 공백",IF(OR(K184="",L184="",M184="",N184=""),"",IF(AND(K184="통과",L184="통과",N184="통과"),IF(M184="통과","패널","패널(불안정)"),IF(N184="예비","예비","제외"))))</f>
        <v/>
      </c>
    </row>
    <row r="185" customFormat="false" ht="15" hidden="false" customHeight="false" outlineLevel="0" collapsed="false">
      <c r="A185" s="10" t="str">
        <f aca="false">'템플릿 문항'!A184</f>
        <v>Q181</v>
      </c>
      <c r="B185" s="10" t="str">
        <f aca="false">'템플릿 문항'!E184</f>
        <v>{지자체} 일자리센터 운영 시간이 언제인가요?</v>
      </c>
      <c r="C185" s="10" t="str">
        <f aca="false">'템플릿 문항'!H184</f>
        <v>중</v>
      </c>
      <c r="D185" s="20"/>
      <c r="E185" s="20"/>
      <c r="F185" s="21"/>
      <c r="G185" s="21"/>
      <c r="H185" s="21"/>
      <c r="I185" s="21" t="n">
        <v>5</v>
      </c>
      <c r="J185" s="20"/>
      <c r="K185" s="10" t="str">
        <f aca="false">IF(OR(D185="",E185=""),"",IF(AND(D185="적합",E185="적합"),"통과","미달"))</f>
        <v/>
      </c>
      <c r="L185" s="10" t="str">
        <f aca="false">IF(F185="","",IF(F185&gt;='검증 기준'!$B$5,"통과","미달"))</f>
        <v/>
      </c>
      <c r="M185" s="10" t="str">
        <f aca="false">IF(G185="","",IF(G185&lt;='검증 기준'!$B$6,"통과","불안정"))</f>
        <v/>
      </c>
      <c r="N185" s="10" t="str">
        <f aca="false">IF(OR(H185="",I185=""),"",IF(OR(AND(H185&gt;='검증 기준'!$B$7,H185&lt;=I185-'검증 기준'!$B$8),C185="고"),"통과","예비"))</f>
        <v/>
      </c>
      <c r="O185" s="10" t="str">
        <f aca="false">IF(J185="예","공급 공백",IF(OR(K185="",L185="",M185="",N185=""),"",IF(AND(K185="통과",L185="통과",N185="통과"),IF(M185="통과","패널","패널(불안정)"),IF(N185="예비","예비","제외"))))</f>
        <v/>
      </c>
    </row>
    <row r="186" customFormat="false" ht="15" hidden="false" customHeight="false" outlineLevel="0" collapsed="false">
      <c r="A186" s="10" t="str">
        <f aca="false">'템플릿 문항'!A185</f>
        <v>Q182</v>
      </c>
      <c r="B186" s="10" t="str">
        <f aca="false">'템플릿 문항'!E185</f>
        <v>{지자체} 일자리센터 전화번호가 뭔가요?</v>
      </c>
      <c r="C186" s="10" t="str">
        <f aca="false">'템플릿 문항'!H185</f>
        <v>중</v>
      </c>
      <c r="D186" s="20"/>
      <c r="E186" s="20"/>
      <c r="F186" s="21"/>
      <c r="G186" s="21"/>
      <c r="H186" s="21"/>
      <c r="I186" s="21" t="n">
        <v>5</v>
      </c>
      <c r="J186" s="20"/>
      <c r="K186" s="10" t="str">
        <f aca="false">IF(OR(D186="",E186=""),"",IF(AND(D186="적합",E186="적합"),"통과","미달"))</f>
        <v/>
      </c>
      <c r="L186" s="10" t="str">
        <f aca="false">IF(F186="","",IF(F186&gt;='검증 기준'!$B$5,"통과","미달"))</f>
        <v/>
      </c>
      <c r="M186" s="10" t="str">
        <f aca="false">IF(G186="","",IF(G186&lt;='검증 기준'!$B$6,"통과","불안정"))</f>
        <v/>
      </c>
      <c r="N186" s="10" t="str">
        <f aca="false">IF(OR(H186="",I186=""),"",IF(OR(AND(H186&gt;='검증 기준'!$B$7,H186&lt;=I186-'검증 기준'!$B$8),C186="고"),"통과","예비"))</f>
        <v/>
      </c>
      <c r="O186" s="10" t="str">
        <f aca="false">IF(J186="예","공급 공백",IF(OR(K186="",L186="",M186="",N186=""),"",IF(AND(K186="통과",L186="통과",N186="통과"),IF(M186="통과","패널","패널(불안정)"),IF(N186="예비","예비","제외"))))</f>
        <v/>
      </c>
    </row>
    <row r="187" customFormat="false" ht="15" hidden="false" customHeight="false" outlineLevel="0" collapsed="false">
      <c r="A187" s="10" t="str">
        <f aca="false">'템플릿 문항'!A186</f>
        <v>Q183</v>
      </c>
      <c r="B187" s="10" t="str">
        <f aca="false">'템플릿 문항'!E186</f>
        <v>{지자체} 취업 상담 예약은 어떻게 하나요?</v>
      </c>
      <c r="C187" s="10" t="str">
        <f aca="false">'템플릿 문항'!H186</f>
        <v>중</v>
      </c>
      <c r="D187" s="20"/>
      <c r="E187" s="20"/>
      <c r="F187" s="21"/>
      <c r="G187" s="21"/>
      <c r="H187" s="21"/>
      <c r="I187" s="21" t="n">
        <v>5</v>
      </c>
      <c r="J187" s="20"/>
      <c r="K187" s="10" t="str">
        <f aca="false">IF(OR(D187="",E187=""),"",IF(AND(D187="적합",E187="적합"),"통과","미달"))</f>
        <v/>
      </c>
      <c r="L187" s="10" t="str">
        <f aca="false">IF(F187="","",IF(F187&gt;='검증 기준'!$B$5,"통과","미달"))</f>
        <v/>
      </c>
      <c r="M187" s="10" t="str">
        <f aca="false">IF(G187="","",IF(G187&lt;='검증 기준'!$B$6,"통과","불안정"))</f>
        <v/>
      </c>
      <c r="N187" s="10" t="str">
        <f aca="false">IF(OR(H187="",I187=""),"",IF(OR(AND(H187&gt;='검증 기준'!$B$7,H187&lt;=I187-'검증 기준'!$B$8),C187="고"),"통과","예비"))</f>
        <v/>
      </c>
      <c r="O187" s="10" t="str">
        <f aca="false">IF(J187="예","공급 공백",IF(OR(K187="",L187="",M187="",N187=""),"",IF(AND(K187="통과",L187="통과",N187="통과"),IF(M187="통과","패널","패널(불안정)"),IF(N187="예비","예비","제외"))))</f>
        <v/>
      </c>
    </row>
    <row r="188" customFormat="false" ht="15" hidden="false" customHeight="false" outlineLevel="0" collapsed="false">
      <c r="A188" s="10" t="str">
        <f aca="false">'템플릿 문항'!A187</f>
        <v>Q184</v>
      </c>
      <c r="B188" s="10" t="str">
        <f aca="false">'템플릿 문항'!E187</f>
        <v>{지자체} 전통시장 {시장} 휴무일이 언제인가요?</v>
      </c>
      <c r="C188" s="10" t="str">
        <f aca="false">'템플릿 문항'!H187</f>
        <v>저</v>
      </c>
      <c r="D188" s="20"/>
      <c r="E188" s="20"/>
      <c r="F188" s="21"/>
      <c r="G188" s="21"/>
      <c r="H188" s="21"/>
      <c r="I188" s="21" t="n">
        <v>5</v>
      </c>
      <c r="J188" s="20"/>
      <c r="K188" s="10" t="str">
        <f aca="false">IF(OR(D188="",E188=""),"",IF(AND(D188="적합",E188="적합"),"통과","미달"))</f>
        <v/>
      </c>
      <c r="L188" s="10" t="str">
        <f aca="false">IF(F188="","",IF(F188&gt;='검증 기준'!$B$5,"통과","미달"))</f>
        <v/>
      </c>
      <c r="M188" s="10" t="str">
        <f aca="false">IF(G188="","",IF(G188&lt;='검증 기준'!$B$6,"통과","불안정"))</f>
        <v/>
      </c>
      <c r="N188" s="10" t="str">
        <f aca="false">IF(OR(H188="",I188=""),"",IF(OR(AND(H188&gt;='검증 기준'!$B$7,H188&lt;=I188-'검증 기준'!$B$8),C188="고"),"통과","예비"))</f>
        <v/>
      </c>
      <c r="O188" s="10" t="str">
        <f aca="false">IF(J188="예","공급 공백",IF(OR(K188="",L188="",M188="",N188=""),"",IF(AND(K188="통과",L188="통과",N188="통과"),IF(M188="통과","패널","패널(불안정)"),IF(N188="예비","예비","제외"))))</f>
        <v/>
      </c>
    </row>
    <row r="189" customFormat="false" ht="15" hidden="false" customHeight="false" outlineLevel="0" collapsed="false">
      <c r="A189" s="10" t="str">
        <f aca="false">'템플릿 문항'!A188</f>
        <v>Q185</v>
      </c>
      <c r="B189" s="10" t="str">
        <f aca="false">'템플릿 문항'!E188</f>
        <v>{지자체} 전통시장 {시장} 주차장이 있나요?</v>
      </c>
      <c r="C189" s="10" t="str">
        <f aca="false">'템플릿 문항'!H188</f>
        <v>저</v>
      </c>
      <c r="D189" s="20"/>
      <c r="E189" s="20"/>
      <c r="F189" s="21"/>
      <c r="G189" s="21"/>
      <c r="H189" s="21"/>
      <c r="I189" s="21" t="n">
        <v>5</v>
      </c>
      <c r="J189" s="20"/>
      <c r="K189" s="10" t="str">
        <f aca="false">IF(OR(D189="",E189=""),"",IF(AND(D189="적합",E189="적합"),"통과","미달"))</f>
        <v/>
      </c>
      <c r="L189" s="10" t="str">
        <f aca="false">IF(F189="","",IF(F189&gt;='검증 기준'!$B$5,"통과","미달"))</f>
        <v/>
      </c>
      <c r="M189" s="10" t="str">
        <f aca="false">IF(G189="","",IF(G189&lt;='검증 기준'!$B$6,"통과","불안정"))</f>
        <v/>
      </c>
      <c r="N189" s="10" t="str">
        <f aca="false">IF(OR(H189="",I189=""),"",IF(OR(AND(H189&gt;='검증 기준'!$B$7,H189&lt;=I189-'검증 기준'!$B$8),C189="고"),"통과","예비"))</f>
        <v/>
      </c>
      <c r="O189" s="10" t="str">
        <f aca="false">IF(J189="예","공급 공백",IF(OR(K189="",L189="",M189="",N189=""),"",IF(AND(K189="통과",L189="통과",N189="통과"),IF(M189="통과","패널","패널(불안정)"),IF(N189="예비","예비","제외"))))</f>
        <v/>
      </c>
    </row>
    <row r="190" customFormat="false" ht="15" hidden="false" customHeight="false" outlineLevel="0" collapsed="false">
      <c r="A190" s="10" t="str">
        <f aca="false">'템플릿 문항'!A189</f>
        <v>Q186</v>
      </c>
      <c r="B190" s="10" t="str">
        <f aca="false">'템플릿 문항'!E189</f>
        <v>{지자체} 전통시장 장날이 언제인가요?</v>
      </c>
      <c r="C190" s="10" t="str">
        <f aca="false">'템플릿 문항'!H189</f>
        <v>저</v>
      </c>
      <c r="D190" s="20"/>
      <c r="E190" s="20"/>
      <c r="F190" s="21"/>
      <c r="G190" s="21"/>
      <c r="H190" s="21"/>
      <c r="I190" s="21" t="n">
        <v>5</v>
      </c>
      <c r="J190" s="20"/>
      <c r="K190" s="10" t="str">
        <f aca="false">IF(OR(D190="",E190=""),"",IF(AND(D190="적합",E190="적합"),"통과","미달"))</f>
        <v/>
      </c>
      <c r="L190" s="10" t="str">
        <f aca="false">IF(F190="","",IF(F190&gt;='검증 기준'!$B$5,"통과","미달"))</f>
        <v/>
      </c>
      <c r="M190" s="10" t="str">
        <f aca="false">IF(G190="","",IF(G190&lt;='검증 기준'!$B$6,"통과","불안정"))</f>
        <v/>
      </c>
      <c r="N190" s="10" t="str">
        <f aca="false">IF(OR(H190="",I190=""),"",IF(OR(AND(H190&gt;='검증 기준'!$B$7,H190&lt;=I190-'검증 기준'!$B$8),C190="고"),"통과","예비"))</f>
        <v/>
      </c>
      <c r="O190" s="10" t="str">
        <f aca="false">IF(J190="예","공급 공백",IF(OR(K190="",L190="",M190="",N190=""),"",IF(AND(K190="통과",L190="통과",N190="통과"),IF(M190="통과","패널","패널(불안정)"),IF(N190="예비","예비","제외"))))</f>
        <v/>
      </c>
    </row>
    <row r="191" customFormat="false" ht="15" hidden="false" customHeight="false" outlineLevel="0" collapsed="false">
      <c r="A191" s="10" t="str">
        <f aca="false">'템플릿 문항'!A190</f>
        <v>Q187</v>
      </c>
      <c r="B191" s="10" t="str">
        <f aca="false">'템플릿 문항'!E190</f>
        <v>{지자체} 전통시장 온누리상품권 환급 행사가 있나요?</v>
      </c>
      <c r="C191" s="10" t="str">
        <f aca="false">'템플릿 문항'!H190</f>
        <v>저</v>
      </c>
      <c r="D191" s="20"/>
      <c r="E191" s="20"/>
      <c r="F191" s="21"/>
      <c r="G191" s="21"/>
      <c r="H191" s="21"/>
      <c r="I191" s="21" t="n">
        <v>5</v>
      </c>
      <c r="J191" s="20"/>
      <c r="K191" s="10" t="str">
        <f aca="false">IF(OR(D191="",E191=""),"",IF(AND(D191="적합",E191="적합"),"통과","미달"))</f>
        <v/>
      </c>
      <c r="L191" s="10" t="str">
        <f aca="false">IF(F191="","",IF(F191&gt;='검증 기준'!$B$5,"통과","미달"))</f>
        <v/>
      </c>
      <c r="M191" s="10" t="str">
        <f aca="false">IF(G191="","",IF(G191&lt;='검증 기준'!$B$6,"통과","불안정"))</f>
        <v/>
      </c>
      <c r="N191" s="10" t="str">
        <f aca="false">IF(OR(H191="",I191=""),"",IF(OR(AND(H191&gt;='검증 기준'!$B$7,H191&lt;=I191-'검증 기준'!$B$8),C191="고"),"통과","예비"))</f>
        <v/>
      </c>
      <c r="O191" s="10" t="str">
        <f aca="false">IF(J191="예","공급 공백",IF(OR(K191="",L191="",M191="",N191=""),"",IF(AND(K191="통과",L191="통과",N191="통과"),IF(M191="통과","패널","패널(불안정)"),IF(N191="예비","예비","제외"))))</f>
        <v/>
      </c>
    </row>
    <row r="192" customFormat="false" ht="15" hidden="false" customHeight="false" outlineLevel="0" collapsed="false">
      <c r="A192" s="10" t="str">
        <f aca="false">'템플릿 문항'!A191</f>
        <v>Q188</v>
      </c>
      <c r="B192" s="10" t="str">
        <f aca="false">'템플릿 문항'!E191</f>
        <v>{지자체} 창업 지원 사업 모집 시기가 언제인가요?</v>
      </c>
      <c r="C192" s="10" t="str">
        <f aca="false">'템플릿 문항'!H191</f>
        <v>중</v>
      </c>
      <c r="D192" s="20"/>
      <c r="E192" s="20"/>
      <c r="F192" s="21"/>
      <c r="G192" s="21"/>
      <c r="H192" s="21"/>
      <c r="I192" s="21" t="n">
        <v>5</v>
      </c>
      <c r="J192" s="20"/>
      <c r="K192" s="10" t="str">
        <f aca="false">IF(OR(D192="",E192=""),"",IF(AND(D192="적합",E192="적합"),"통과","미달"))</f>
        <v/>
      </c>
      <c r="L192" s="10" t="str">
        <f aca="false">IF(F192="","",IF(F192&gt;='검증 기준'!$B$5,"통과","미달"))</f>
        <v/>
      </c>
      <c r="M192" s="10" t="str">
        <f aca="false">IF(G192="","",IF(G192&lt;='검증 기준'!$B$6,"통과","불안정"))</f>
        <v/>
      </c>
      <c r="N192" s="10" t="str">
        <f aca="false">IF(OR(H192="",I192=""),"",IF(OR(AND(H192&gt;='검증 기준'!$B$7,H192&lt;=I192-'검증 기준'!$B$8),C192="고"),"통과","예비"))</f>
        <v/>
      </c>
      <c r="O192" s="10" t="str">
        <f aca="false">IF(J192="예","공급 공백",IF(OR(K192="",L192="",M192="",N192=""),"",IF(AND(K192="통과",L192="통과",N192="통과"),IF(M192="통과","패널","패널(불안정)"),IF(N192="예비","예비","제외"))))</f>
        <v/>
      </c>
    </row>
    <row r="193" customFormat="false" ht="15" hidden="false" customHeight="false" outlineLevel="0" collapsed="false">
      <c r="A193" s="10" t="str">
        <f aca="false">'템플릿 문항'!A192</f>
        <v>Q189</v>
      </c>
      <c r="B193" s="10" t="str">
        <f aca="false">'템플릿 문항'!E192</f>
        <v>{지자체} 창업 지원 대상이 누구인가요?</v>
      </c>
      <c r="C193" s="10" t="str">
        <f aca="false">'템플릿 문항'!H192</f>
        <v>중</v>
      </c>
      <c r="D193" s="20"/>
      <c r="E193" s="20"/>
      <c r="F193" s="21"/>
      <c r="G193" s="21"/>
      <c r="H193" s="21"/>
      <c r="I193" s="21" t="n">
        <v>5</v>
      </c>
      <c r="J193" s="20"/>
      <c r="K193" s="10" t="str">
        <f aca="false">IF(OR(D193="",E193=""),"",IF(AND(D193="적합",E193="적합"),"통과","미달"))</f>
        <v/>
      </c>
      <c r="L193" s="10" t="str">
        <f aca="false">IF(F193="","",IF(F193&gt;='검증 기준'!$B$5,"통과","미달"))</f>
        <v/>
      </c>
      <c r="M193" s="10" t="str">
        <f aca="false">IF(G193="","",IF(G193&lt;='검증 기준'!$B$6,"통과","불안정"))</f>
        <v/>
      </c>
      <c r="N193" s="10" t="str">
        <f aca="false">IF(OR(H193="",I193=""),"",IF(OR(AND(H193&gt;='검증 기준'!$B$7,H193&lt;=I193-'검증 기준'!$B$8),C193="고"),"통과","예비"))</f>
        <v/>
      </c>
      <c r="O193" s="10" t="str">
        <f aca="false">IF(J193="예","공급 공백",IF(OR(K193="",L193="",M193="",N193=""),"",IF(AND(K193="통과",L193="통과",N193="통과"),IF(M193="통과","패널","패널(불안정)"),IF(N193="예비","예비","제외"))))</f>
        <v/>
      </c>
    </row>
    <row r="194" customFormat="false" ht="15" hidden="false" customHeight="false" outlineLevel="0" collapsed="false">
      <c r="A194" s="10" t="str">
        <f aca="false">'템플릿 문항'!A193</f>
        <v>Q190</v>
      </c>
      <c r="B194" s="10" t="str">
        <f aca="false">'템플릿 문항'!E193</f>
        <v>{지자체} 창업지원센터는 어디에 있나요?</v>
      </c>
      <c r="C194" s="10" t="str">
        <f aca="false">'템플릿 문항'!H193</f>
        <v>중</v>
      </c>
      <c r="D194" s="20"/>
      <c r="E194" s="20"/>
      <c r="F194" s="21"/>
      <c r="G194" s="21"/>
      <c r="H194" s="21"/>
      <c r="I194" s="21" t="n">
        <v>5</v>
      </c>
      <c r="J194" s="20"/>
      <c r="K194" s="10" t="str">
        <f aca="false">IF(OR(D194="",E194=""),"",IF(AND(D194="적합",E194="적합"),"통과","미달"))</f>
        <v/>
      </c>
      <c r="L194" s="10" t="str">
        <f aca="false">IF(F194="","",IF(F194&gt;='검증 기준'!$B$5,"통과","미달"))</f>
        <v/>
      </c>
      <c r="M194" s="10" t="str">
        <f aca="false">IF(G194="","",IF(G194&lt;='검증 기준'!$B$6,"통과","불안정"))</f>
        <v/>
      </c>
      <c r="N194" s="10" t="str">
        <f aca="false">IF(OR(H194="",I194=""),"",IF(OR(AND(H194&gt;='검증 기준'!$B$7,H194&lt;=I194-'검증 기준'!$B$8),C194="고"),"통과","예비"))</f>
        <v/>
      </c>
      <c r="O194" s="10" t="str">
        <f aca="false">IF(J194="예","공급 공백",IF(OR(K194="",L194="",M194="",N194=""),"",IF(AND(K194="통과",L194="통과",N194="통과"),IF(M194="통과","패널","패널(불안정)"),IF(N194="예비","예비","제외"))))</f>
        <v/>
      </c>
    </row>
    <row r="195" customFormat="false" ht="15" hidden="false" customHeight="false" outlineLevel="0" collapsed="false">
      <c r="A195" s="10" t="str">
        <f aca="false">'템플릿 문항'!A194</f>
        <v>Q191</v>
      </c>
      <c r="B195" s="10" t="str">
        <f aca="false">'템플릿 문항'!E194</f>
        <v>{지자체} 청년 창업 지원금이 얼마인가요?</v>
      </c>
      <c r="C195" s="10" t="str">
        <f aca="false">'템플릿 문항'!H194</f>
        <v>중</v>
      </c>
      <c r="D195" s="20"/>
      <c r="E195" s="20"/>
      <c r="F195" s="21"/>
      <c r="G195" s="21"/>
      <c r="H195" s="21"/>
      <c r="I195" s="21" t="n">
        <v>5</v>
      </c>
      <c r="J195" s="20"/>
      <c r="K195" s="10" t="str">
        <f aca="false">IF(OR(D195="",E195=""),"",IF(AND(D195="적합",E195="적합"),"통과","미달"))</f>
        <v/>
      </c>
      <c r="L195" s="10" t="str">
        <f aca="false">IF(F195="","",IF(F195&gt;='검증 기준'!$B$5,"통과","미달"))</f>
        <v/>
      </c>
      <c r="M195" s="10" t="str">
        <f aca="false">IF(G195="","",IF(G195&lt;='검증 기준'!$B$6,"통과","불안정"))</f>
        <v/>
      </c>
      <c r="N195" s="10" t="str">
        <f aca="false">IF(OR(H195="",I195=""),"",IF(OR(AND(H195&gt;='검증 기준'!$B$7,H195&lt;=I195-'검증 기준'!$B$8),C195="고"),"통과","예비"))</f>
        <v/>
      </c>
      <c r="O195" s="10" t="str">
        <f aca="false">IF(J195="예","공급 공백",IF(OR(K195="",L195="",M195="",N195=""),"",IF(AND(K195="통과",L195="통과",N195="통과"),IF(M195="통과","패널","패널(불안정)"),IF(N195="예비","예비","제외"))))</f>
        <v/>
      </c>
    </row>
    <row r="196" customFormat="false" ht="15" hidden="false" customHeight="false" outlineLevel="0" collapsed="false">
      <c r="A196" s="10" t="str">
        <f aca="false">'템플릿 문항'!A195</f>
        <v>Q192</v>
      </c>
      <c r="B196" s="10" t="str">
        <f aca="false">'템플릿 문항'!E195</f>
        <v>{지자체} 반려동물 등록은 어디서 하나요?</v>
      </c>
      <c r="C196" s="10" t="str">
        <f aca="false">'템플릿 문항'!H195</f>
        <v>중</v>
      </c>
      <c r="D196" s="20"/>
      <c r="E196" s="20"/>
      <c r="F196" s="21"/>
      <c r="G196" s="21"/>
      <c r="H196" s="21"/>
      <c r="I196" s="21" t="n">
        <v>5</v>
      </c>
      <c r="J196" s="20"/>
      <c r="K196" s="10" t="str">
        <f aca="false">IF(OR(D196="",E196=""),"",IF(AND(D196="적합",E196="적합"),"통과","미달"))</f>
        <v/>
      </c>
      <c r="L196" s="10" t="str">
        <f aca="false">IF(F196="","",IF(F196&gt;='검증 기준'!$B$5,"통과","미달"))</f>
        <v/>
      </c>
      <c r="M196" s="10" t="str">
        <f aca="false">IF(G196="","",IF(G196&lt;='검증 기준'!$B$6,"통과","불안정"))</f>
        <v/>
      </c>
      <c r="N196" s="10" t="str">
        <f aca="false">IF(OR(H196="",I196=""),"",IF(OR(AND(H196&gt;='검증 기준'!$B$7,H196&lt;=I196-'검증 기준'!$B$8),C196="고"),"통과","예비"))</f>
        <v/>
      </c>
      <c r="O196" s="10" t="str">
        <f aca="false">IF(J196="예","공급 공백",IF(OR(K196="",L196="",M196="",N196=""),"",IF(AND(K196="통과",L196="통과",N196="통과"),IF(M196="통과","패널","패널(불안정)"),IF(N196="예비","예비","제외"))))</f>
        <v/>
      </c>
    </row>
    <row r="197" customFormat="false" ht="15" hidden="false" customHeight="false" outlineLevel="0" collapsed="false">
      <c r="A197" s="10" t="str">
        <f aca="false">'템플릿 문항'!A196</f>
        <v>Q193</v>
      </c>
      <c r="B197" s="10" t="str">
        <f aca="false">'템플릿 문항'!E196</f>
        <v>{지자체} 반려동물 미등록 과태료가 얼마인가요?</v>
      </c>
      <c r="C197" s="10" t="str">
        <f aca="false">'템플릿 문항'!H196</f>
        <v>중</v>
      </c>
      <c r="D197" s="20"/>
      <c r="E197" s="20"/>
      <c r="F197" s="21"/>
      <c r="G197" s="21"/>
      <c r="H197" s="21"/>
      <c r="I197" s="21" t="n">
        <v>5</v>
      </c>
      <c r="J197" s="20"/>
      <c r="K197" s="10" t="str">
        <f aca="false">IF(OR(D197="",E197=""),"",IF(AND(D197="적합",E197="적합"),"통과","미달"))</f>
        <v/>
      </c>
      <c r="L197" s="10" t="str">
        <f aca="false">IF(F197="","",IF(F197&gt;='검증 기준'!$B$5,"통과","미달"))</f>
        <v/>
      </c>
      <c r="M197" s="10" t="str">
        <f aca="false">IF(G197="","",IF(G197&lt;='검증 기준'!$B$6,"통과","불안정"))</f>
        <v/>
      </c>
      <c r="N197" s="10" t="str">
        <f aca="false">IF(OR(H197="",I197=""),"",IF(OR(AND(H197&gt;='검증 기준'!$B$7,H197&lt;=I197-'검증 기준'!$B$8),C197="고"),"통과","예비"))</f>
        <v/>
      </c>
      <c r="O197" s="10" t="str">
        <f aca="false">IF(J197="예","공급 공백",IF(OR(K197="",L197="",M197="",N197=""),"",IF(AND(K197="통과",L197="통과",N197="통과"),IF(M197="통과","패널","패널(불안정)"),IF(N197="예비","예비","제외"))))</f>
        <v/>
      </c>
    </row>
    <row r="198" customFormat="false" ht="15" hidden="false" customHeight="false" outlineLevel="0" collapsed="false">
      <c r="A198" s="10" t="str">
        <f aca="false">'템플릿 문항'!A197</f>
        <v>Q194</v>
      </c>
      <c r="B198" s="10" t="str">
        <f aca="false">'템플릿 문항'!E197</f>
        <v>{지자체} 유기동물 보호소는 어디에 있나요?</v>
      </c>
      <c r="C198" s="10" t="str">
        <f aca="false">'템플릿 문항'!H197</f>
        <v>중</v>
      </c>
      <c r="D198" s="20"/>
      <c r="E198" s="20"/>
      <c r="F198" s="21"/>
      <c r="G198" s="21"/>
      <c r="H198" s="21"/>
      <c r="I198" s="21" t="n">
        <v>5</v>
      </c>
      <c r="J198" s="20"/>
      <c r="K198" s="10" t="str">
        <f aca="false">IF(OR(D198="",E198=""),"",IF(AND(D198="적합",E198="적합"),"통과","미달"))</f>
        <v/>
      </c>
      <c r="L198" s="10" t="str">
        <f aca="false">IF(F198="","",IF(F198&gt;='검증 기준'!$B$5,"통과","미달"))</f>
        <v/>
      </c>
      <c r="M198" s="10" t="str">
        <f aca="false">IF(G198="","",IF(G198&lt;='검증 기준'!$B$6,"통과","불안정"))</f>
        <v/>
      </c>
      <c r="N198" s="10" t="str">
        <f aca="false">IF(OR(H198="",I198=""),"",IF(OR(AND(H198&gt;='검증 기준'!$B$7,H198&lt;=I198-'검증 기준'!$B$8),C198="고"),"통과","예비"))</f>
        <v/>
      </c>
      <c r="O198" s="10" t="str">
        <f aca="false">IF(J198="예","공급 공백",IF(OR(K198="",L198="",M198="",N198=""),"",IF(AND(K198="통과",L198="통과",N198="통과"),IF(M198="통과","패널","패널(불안정)"),IF(N198="예비","예비","제외"))))</f>
        <v/>
      </c>
    </row>
    <row r="199" customFormat="false" ht="15" hidden="false" customHeight="false" outlineLevel="0" collapsed="false">
      <c r="A199" s="10" t="str">
        <f aca="false">'템플릿 문항'!A198</f>
        <v>Q195</v>
      </c>
      <c r="B199" s="10" t="str">
        <f aca="false">'템플릿 문항'!E198</f>
        <v>{지자체} 유기동물 신고 전화번호가 뭔가요?</v>
      </c>
      <c r="C199" s="10" t="str">
        <f aca="false">'템플릿 문항'!H198</f>
        <v>중</v>
      </c>
      <c r="D199" s="20"/>
      <c r="E199" s="20"/>
      <c r="F199" s="21"/>
      <c r="G199" s="21"/>
      <c r="H199" s="21"/>
      <c r="I199" s="21" t="n">
        <v>5</v>
      </c>
      <c r="J199" s="20"/>
      <c r="K199" s="10" t="str">
        <f aca="false">IF(OR(D199="",E199=""),"",IF(AND(D199="적합",E199="적합"),"통과","미달"))</f>
        <v/>
      </c>
      <c r="L199" s="10" t="str">
        <f aca="false">IF(F199="","",IF(F199&gt;='검증 기준'!$B$5,"통과","미달"))</f>
        <v/>
      </c>
      <c r="M199" s="10" t="str">
        <f aca="false">IF(G199="","",IF(G199&lt;='검증 기준'!$B$6,"통과","불안정"))</f>
        <v/>
      </c>
      <c r="N199" s="10" t="str">
        <f aca="false">IF(OR(H199="",I199=""),"",IF(OR(AND(H199&gt;='검증 기준'!$B$7,H199&lt;=I199-'검증 기준'!$B$8),C199="고"),"통과","예비"))</f>
        <v/>
      </c>
      <c r="O199" s="10" t="str">
        <f aca="false">IF(J199="예","공급 공백",IF(OR(K199="",L199="",M199="",N199=""),"",IF(AND(K199="통과",L199="통과",N199="통과"),IF(M199="통과","패널","패널(불안정)"),IF(N199="예비","예비","제외"))))</f>
        <v/>
      </c>
    </row>
    <row r="200" customFormat="false" ht="15" hidden="false" customHeight="false" outlineLevel="0" collapsed="false">
      <c r="A200" s="10" t="str">
        <f aca="false">'템플릿 문항'!A199</f>
        <v>Q196</v>
      </c>
      <c r="B200" s="10" t="str">
        <f aca="false">'템플릿 문항'!E199</f>
        <v>{지자체} 반려동물 등록 수수료가 얼마인가요?</v>
      </c>
      <c r="C200" s="10" t="str">
        <f aca="false">'템플릿 문항'!H199</f>
        <v>저</v>
      </c>
      <c r="D200" s="20"/>
      <c r="E200" s="20"/>
      <c r="F200" s="21"/>
      <c r="G200" s="21"/>
      <c r="H200" s="21"/>
      <c r="I200" s="21" t="n">
        <v>5</v>
      </c>
      <c r="J200" s="20"/>
      <c r="K200" s="10" t="str">
        <f aca="false">IF(OR(D200="",E200=""),"",IF(AND(D200="적합",E200="적합"),"통과","미달"))</f>
        <v/>
      </c>
      <c r="L200" s="10" t="str">
        <f aca="false">IF(F200="","",IF(F200&gt;='검증 기준'!$B$5,"통과","미달"))</f>
        <v/>
      </c>
      <c r="M200" s="10" t="str">
        <f aca="false">IF(G200="","",IF(G200&lt;='검증 기준'!$B$6,"통과","불안정"))</f>
        <v/>
      </c>
      <c r="N200" s="10" t="str">
        <f aca="false">IF(OR(H200="",I200=""),"",IF(OR(AND(H200&gt;='검증 기준'!$B$7,H200&lt;=I200-'검증 기준'!$B$8),C200="고"),"통과","예비"))</f>
        <v/>
      </c>
      <c r="O200" s="10" t="str">
        <f aca="false">IF(J200="예","공급 공백",IF(OR(K200="",L200="",M200="",N200=""),"",IF(AND(K200="통과",L200="통과",N200="통과"),IF(M200="통과","패널","패널(불안정)"),IF(N200="예비","예비","제외"))))</f>
        <v/>
      </c>
    </row>
    <row r="201" customFormat="false" ht="15" hidden="false" customHeight="false" outlineLevel="0" collapsed="false">
      <c r="A201" s="10" t="str">
        <f aca="false">'템플릿 문항'!A200</f>
        <v>Q197</v>
      </c>
      <c r="B201" s="10" t="str">
        <f aca="false">'템플릿 문항'!E200</f>
        <v>{지자체} {시설고장} 신고는 어디에 하나요?</v>
      </c>
      <c r="C201" s="10" t="str">
        <f aca="false">'템플릿 문항'!H200</f>
        <v>중</v>
      </c>
      <c r="D201" s="20"/>
      <c r="E201" s="20"/>
      <c r="F201" s="21"/>
      <c r="G201" s="21"/>
      <c r="H201" s="21"/>
      <c r="I201" s="21" t="n">
        <v>5</v>
      </c>
      <c r="J201" s="20"/>
      <c r="K201" s="10" t="str">
        <f aca="false">IF(OR(D201="",E201=""),"",IF(AND(D201="적합",E201="적합"),"통과","미달"))</f>
        <v/>
      </c>
      <c r="L201" s="10" t="str">
        <f aca="false">IF(F201="","",IF(F201&gt;='검증 기준'!$B$5,"통과","미달"))</f>
        <v/>
      </c>
      <c r="M201" s="10" t="str">
        <f aca="false">IF(G201="","",IF(G201&lt;='검증 기준'!$B$6,"통과","불안정"))</f>
        <v/>
      </c>
      <c r="N201" s="10" t="str">
        <f aca="false">IF(OR(H201="",I201=""),"",IF(OR(AND(H201&gt;='검증 기준'!$B$7,H201&lt;=I201-'검증 기준'!$B$8),C201="고"),"통과","예비"))</f>
        <v/>
      </c>
      <c r="O201" s="10" t="str">
        <f aca="false">IF(J201="예","공급 공백",IF(OR(K201="",L201="",M201="",N201=""),"",IF(AND(K201="통과",L201="통과",N201="통과"),IF(M201="통과","패널","패널(불안정)"),IF(N201="예비","예비","제외"))))</f>
        <v/>
      </c>
    </row>
    <row r="202" customFormat="false" ht="15" hidden="false" customHeight="false" outlineLevel="0" collapsed="false">
      <c r="A202" s="10" t="str">
        <f aca="false">'템플릿 문항'!A201</f>
        <v>Q198</v>
      </c>
      <c r="B202" s="10" t="str">
        <f aca="false">'템플릿 문항'!E201</f>
        <v>{지자체} 도로 파손 신고 처리 기간이 얼마나 되나요?</v>
      </c>
      <c r="C202" s="10" t="str">
        <f aca="false">'템플릿 문항'!H201</f>
        <v>중</v>
      </c>
      <c r="D202" s="20"/>
      <c r="E202" s="20"/>
      <c r="F202" s="21"/>
      <c r="G202" s="21"/>
      <c r="H202" s="21"/>
      <c r="I202" s="21" t="n">
        <v>5</v>
      </c>
      <c r="J202" s="20"/>
      <c r="K202" s="10" t="str">
        <f aca="false">IF(OR(D202="",E202=""),"",IF(AND(D202="적합",E202="적합"),"통과","미달"))</f>
        <v/>
      </c>
      <c r="L202" s="10" t="str">
        <f aca="false">IF(F202="","",IF(F202&gt;='검증 기준'!$B$5,"통과","미달"))</f>
        <v/>
      </c>
      <c r="M202" s="10" t="str">
        <f aca="false">IF(G202="","",IF(G202&lt;='검증 기준'!$B$6,"통과","불안정"))</f>
        <v/>
      </c>
      <c r="N202" s="10" t="str">
        <f aca="false">IF(OR(H202="",I202=""),"",IF(OR(AND(H202&gt;='검증 기준'!$B$7,H202&lt;=I202-'검증 기준'!$B$8),C202="고"),"통과","예비"))</f>
        <v/>
      </c>
      <c r="O202" s="10" t="str">
        <f aca="false">IF(J202="예","공급 공백",IF(OR(K202="",L202="",M202="",N202=""),"",IF(AND(K202="통과",L202="통과",N202="통과"),IF(M202="통과","패널","패널(불안정)"),IF(N202="예비","예비","제외"))))</f>
        <v/>
      </c>
    </row>
    <row r="203" customFormat="false" ht="15" hidden="false" customHeight="false" outlineLevel="0" collapsed="false">
      <c r="A203" s="10" t="str">
        <f aca="false">'템플릿 문항'!A202</f>
        <v>Q199</v>
      </c>
      <c r="B203" s="10" t="str">
        <f aca="false">'템플릿 문항'!E202</f>
        <v>{지자체} 가로등 고장 신고 전화번호가 뭔가요?</v>
      </c>
      <c r="C203" s="10" t="str">
        <f aca="false">'템플릿 문항'!H202</f>
        <v>중</v>
      </c>
      <c r="D203" s="20"/>
      <c r="E203" s="20"/>
      <c r="F203" s="21"/>
      <c r="G203" s="21"/>
      <c r="H203" s="21"/>
      <c r="I203" s="21" t="n">
        <v>5</v>
      </c>
      <c r="J203" s="20"/>
      <c r="K203" s="10" t="str">
        <f aca="false">IF(OR(D203="",E203=""),"",IF(AND(D203="적합",E203="적합"),"통과","미달"))</f>
        <v/>
      </c>
      <c r="L203" s="10" t="str">
        <f aca="false">IF(F203="","",IF(F203&gt;='검증 기준'!$B$5,"통과","미달"))</f>
        <v/>
      </c>
      <c r="M203" s="10" t="str">
        <f aca="false">IF(G203="","",IF(G203&lt;='검증 기준'!$B$6,"통과","불안정"))</f>
        <v/>
      </c>
      <c r="N203" s="10" t="str">
        <f aca="false">IF(OR(H203="",I203=""),"",IF(OR(AND(H203&gt;='검증 기준'!$B$7,H203&lt;=I203-'검증 기준'!$B$8),C203="고"),"통과","예비"))</f>
        <v/>
      </c>
      <c r="O203" s="10" t="str">
        <f aca="false">IF(J203="예","공급 공백",IF(OR(K203="",L203="",M203="",N203=""),"",IF(AND(K203="통과",L203="통과",N203="통과"),IF(M203="통과","패널","패널(불안정)"),IF(N203="예비","예비","제외"))))</f>
        <v/>
      </c>
    </row>
    <row r="204" customFormat="false" ht="15" hidden="false" customHeight="false" outlineLevel="0" collapsed="false">
      <c r="A204" s="10" t="str">
        <f aca="false">'템플릿 문항'!A203</f>
        <v>Q200</v>
      </c>
      <c r="B204" s="10" t="str">
        <f aca="false">'템플릿 문항'!E203</f>
        <v>{지자체} 제설 요청은 어디에 하나요?</v>
      </c>
      <c r="C204" s="10" t="str">
        <f aca="false">'템플릿 문항'!H203</f>
        <v>고</v>
      </c>
      <c r="D204" s="20"/>
      <c r="E204" s="20"/>
      <c r="F204" s="21"/>
      <c r="G204" s="21"/>
      <c r="H204" s="21"/>
      <c r="I204" s="21" t="n">
        <v>5</v>
      </c>
      <c r="J204" s="20"/>
      <c r="K204" s="10" t="str">
        <f aca="false">IF(OR(D204="",E204=""),"",IF(AND(D204="적합",E204="적합"),"통과","미달"))</f>
        <v/>
      </c>
      <c r="L204" s="10" t="str">
        <f aca="false">IF(F204="","",IF(F204&gt;='검증 기준'!$B$5,"통과","미달"))</f>
        <v/>
      </c>
      <c r="M204" s="10" t="str">
        <f aca="false">IF(G204="","",IF(G204&lt;='검증 기준'!$B$6,"통과","불안정"))</f>
        <v/>
      </c>
      <c r="N204" s="10" t="str">
        <f aca="false">IF(OR(H204="",I204=""),"",IF(OR(AND(H204&gt;='검증 기준'!$B$7,H204&lt;=I204-'검증 기준'!$B$8),C204="고"),"통과","예비"))</f>
        <v/>
      </c>
      <c r="O204" s="10" t="str">
        <f aca="false">IF(J204="예","공급 공백",IF(OR(K204="",L204="",M204="",N204=""),"",IF(AND(K204="통과",L204="통과",N204="통과"),IF(M204="통과","패널","패널(불안정)"),IF(N204="예비","예비","제외"))))</f>
        <v/>
      </c>
    </row>
    <row r="205" customFormat="false" ht="15" hidden="false" customHeight="false" outlineLevel="0" collapsed="false">
      <c r="A205" s="10" t="str">
        <f aca="false">'템플릿 문항'!A204</f>
        <v>Q201</v>
      </c>
      <c r="B205" s="10" t="str">
        <f aca="false">'템플릿 문항'!E204</f>
        <v>{지자체} 벌집 제거 신고는 어디에 하나요?</v>
      </c>
      <c r="C205" s="10" t="str">
        <f aca="false">'템플릿 문항'!H204</f>
        <v>고</v>
      </c>
      <c r="D205" s="20"/>
      <c r="E205" s="20"/>
      <c r="F205" s="21"/>
      <c r="G205" s="21"/>
      <c r="H205" s="21"/>
      <c r="I205" s="21" t="n">
        <v>5</v>
      </c>
      <c r="J205" s="20"/>
      <c r="K205" s="10" t="str">
        <f aca="false">IF(OR(D205="",E205=""),"",IF(AND(D205="적합",E205="적합"),"통과","미달"))</f>
        <v/>
      </c>
      <c r="L205" s="10" t="str">
        <f aca="false">IF(F205="","",IF(F205&gt;='검증 기준'!$B$5,"통과","미달"))</f>
        <v/>
      </c>
      <c r="M205" s="10" t="str">
        <f aca="false">IF(G205="","",IF(G205&lt;='검증 기준'!$B$6,"통과","불안정"))</f>
        <v/>
      </c>
      <c r="N205" s="10" t="str">
        <f aca="false">IF(OR(H205="",I205=""),"",IF(OR(AND(H205&gt;='검증 기준'!$B$7,H205&lt;=I205-'검증 기준'!$B$8),C205="고"),"통과","예비"))</f>
        <v/>
      </c>
      <c r="O205" s="10" t="str">
        <f aca="false">IF(J205="예","공급 공백",IF(OR(K205="",L205="",M205="",N205=""),"",IF(AND(K205="통과",L205="통과",N205="통과"),IF(M205="통과","패널","패널(불안정)"),IF(N205="예비","예비","제외"))))</f>
        <v/>
      </c>
    </row>
    <row r="206" customFormat="false" ht="15" hidden="false" customHeight="false" outlineLevel="0" collapsed="false">
      <c r="A206" s="10" t="str">
        <f aca="false">'템플릿 문항'!A205</f>
        <v>Q202</v>
      </c>
      <c r="B206" s="10" t="str">
        <f aca="false">'템플릿 문항'!E205</f>
        <v>{지자체} 방역 소독 요청은 어떻게 하나요?</v>
      </c>
      <c r="C206" s="10" t="str">
        <f aca="false">'템플릿 문항'!H205</f>
        <v>중</v>
      </c>
      <c r="D206" s="20"/>
      <c r="E206" s="20"/>
      <c r="F206" s="21"/>
      <c r="G206" s="21"/>
      <c r="H206" s="21"/>
      <c r="I206" s="21" t="n">
        <v>5</v>
      </c>
      <c r="J206" s="20"/>
      <c r="K206" s="10" t="str">
        <f aca="false">IF(OR(D206="",E206=""),"",IF(AND(D206="적합",E206="적합"),"통과","미달"))</f>
        <v/>
      </c>
      <c r="L206" s="10" t="str">
        <f aca="false">IF(F206="","",IF(F206&gt;='검증 기준'!$B$5,"통과","미달"))</f>
        <v/>
      </c>
      <c r="M206" s="10" t="str">
        <f aca="false">IF(G206="","",IF(G206&lt;='검증 기준'!$B$6,"통과","불안정"))</f>
        <v/>
      </c>
      <c r="N206" s="10" t="str">
        <f aca="false">IF(OR(H206="",I206=""),"",IF(OR(AND(H206&gt;='검증 기준'!$B$7,H206&lt;=I206-'검증 기준'!$B$8),C206="고"),"통과","예비"))</f>
        <v/>
      </c>
      <c r="O206" s="10" t="str">
        <f aca="false">IF(J206="예","공급 공백",IF(OR(K206="",L206="",M206="",N206=""),"",IF(AND(K206="통과",L206="통과",N206="통과"),IF(M206="통과","패널","패널(불안정)"),IF(N206="예비","예비","제외"))))</f>
        <v/>
      </c>
    </row>
    <row r="207" customFormat="false" ht="15" hidden="false" customHeight="false" outlineLevel="0" collapsed="false">
      <c r="A207" s="10" t="str">
        <f aca="false">'템플릿 문항'!A206</f>
        <v>Q203</v>
      </c>
      <c r="B207" s="10" t="str">
        <f aca="false">'템플릿 문항'!E206</f>
        <v>{지자체} {해충} 방역 지원이 있나요?</v>
      </c>
      <c r="C207" s="10" t="str">
        <f aca="false">'템플릿 문항'!H206</f>
        <v>중</v>
      </c>
      <c r="D207" s="20"/>
      <c r="E207" s="20"/>
      <c r="F207" s="21"/>
      <c r="G207" s="21"/>
      <c r="H207" s="21"/>
      <c r="I207" s="21" t="n">
        <v>5</v>
      </c>
      <c r="J207" s="20"/>
      <c r="K207" s="10" t="str">
        <f aca="false">IF(OR(D207="",E207=""),"",IF(AND(D207="적합",E207="적합"),"통과","미달"))</f>
        <v/>
      </c>
      <c r="L207" s="10" t="str">
        <f aca="false">IF(F207="","",IF(F207&gt;='검증 기준'!$B$5,"통과","미달"))</f>
        <v/>
      </c>
      <c r="M207" s="10" t="str">
        <f aca="false">IF(G207="","",IF(G207&lt;='검증 기준'!$B$6,"통과","불안정"))</f>
        <v/>
      </c>
      <c r="N207" s="10" t="str">
        <f aca="false">IF(OR(H207="",I207=""),"",IF(OR(AND(H207&gt;='검증 기준'!$B$7,H207&lt;=I207-'검증 기준'!$B$8),C207="고"),"통과","예비"))</f>
        <v/>
      </c>
      <c r="O207" s="10" t="str">
        <f aca="false">IF(J207="예","공급 공백",IF(OR(K207="",L207="",M207="",N207=""),"",IF(AND(K207="통과",L207="통과",N207="통과"),IF(M207="통과","패널","패널(불안정)"),IF(N207="예비","예비","제외"))))</f>
        <v/>
      </c>
    </row>
    <row r="208" customFormat="false" ht="15" hidden="false" customHeight="false" outlineLevel="0" collapsed="false">
      <c r="A208" s="10" t="str">
        <f aca="false">'템플릿 문항'!A207</f>
        <v>Q204</v>
      </c>
      <c r="B208" s="10" t="str">
        <f aca="false">'템플릿 문항'!E207</f>
        <v>{지자체} 멧돼지 출몰 신고는 어디에 하나요?</v>
      </c>
      <c r="C208" s="10" t="str">
        <f aca="false">'템플릿 문항'!H207</f>
        <v>고</v>
      </c>
      <c r="D208" s="20"/>
      <c r="E208" s="20"/>
      <c r="F208" s="21"/>
      <c r="G208" s="21"/>
      <c r="H208" s="21"/>
      <c r="I208" s="21" t="n">
        <v>5</v>
      </c>
      <c r="J208" s="20"/>
      <c r="K208" s="10" t="str">
        <f aca="false">IF(OR(D208="",E208=""),"",IF(AND(D208="적합",E208="적합"),"통과","미달"))</f>
        <v/>
      </c>
      <c r="L208" s="10" t="str">
        <f aca="false">IF(F208="","",IF(F208&gt;='검증 기준'!$B$5,"통과","미달"))</f>
        <v/>
      </c>
      <c r="M208" s="10" t="str">
        <f aca="false">IF(G208="","",IF(G208&lt;='검증 기준'!$B$6,"통과","불안정"))</f>
        <v/>
      </c>
      <c r="N208" s="10" t="str">
        <f aca="false">IF(OR(H208="",I208=""),"",IF(OR(AND(H208&gt;='검증 기준'!$B$7,H208&lt;=I208-'검증 기준'!$B$8),C208="고"),"통과","예비"))</f>
        <v/>
      </c>
      <c r="O208" s="10" t="str">
        <f aca="false">IF(J208="예","공급 공백",IF(OR(K208="",L208="",M208="",N208=""),"",IF(AND(K208="통과",L208="통과",N208="통과"),IF(M208="통과","패널","패널(불안정)"),IF(N208="예비","예비","제외"))))</f>
        <v/>
      </c>
    </row>
    <row r="209" customFormat="false" ht="15" hidden="false" customHeight="false" outlineLevel="0" collapsed="false">
      <c r="A209" s="10" t="str">
        <f aca="false">'템플릿 문항'!A208</f>
        <v>Q205</v>
      </c>
      <c r="B209" s="10" t="str">
        <f aca="false">'템플릿 문항'!E208</f>
        <v>{지자체} 공공 와이파이는 어디에서 쓸 수 있나요?</v>
      </c>
      <c r="C209" s="10" t="str">
        <f aca="false">'템플릿 문항'!H208</f>
        <v>저</v>
      </c>
      <c r="D209" s="20"/>
      <c r="E209" s="20"/>
      <c r="F209" s="21"/>
      <c r="G209" s="21"/>
      <c r="H209" s="21"/>
      <c r="I209" s="21" t="n">
        <v>5</v>
      </c>
      <c r="J209" s="20"/>
      <c r="K209" s="10" t="str">
        <f aca="false">IF(OR(D209="",E209=""),"",IF(AND(D209="적합",E209="적합"),"통과","미달"))</f>
        <v/>
      </c>
      <c r="L209" s="10" t="str">
        <f aca="false">IF(F209="","",IF(F209&gt;='검증 기준'!$B$5,"통과","미달"))</f>
        <v/>
      </c>
      <c r="M209" s="10" t="str">
        <f aca="false">IF(G209="","",IF(G209&lt;='검증 기준'!$B$6,"통과","불안정"))</f>
        <v/>
      </c>
      <c r="N209" s="10" t="str">
        <f aca="false">IF(OR(H209="",I209=""),"",IF(OR(AND(H209&gt;='검증 기준'!$B$7,H209&lt;=I209-'검증 기준'!$B$8),C209="고"),"통과","예비"))</f>
        <v/>
      </c>
      <c r="O209" s="10" t="str">
        <f aca="false">IF(J209="예","공급 공백",IF(OR(K209="",L209="",M209="",N209=""),"",IF(AND(K209="통과",L209="통과",N209="통과"),IF(M209="통과","패널","패널(불안정)"),IF(N209="예비","예비","제외"))))</f>
        <v/>
      </c>
    </row>
    <row r="210" customFormat="false" ht="15" hidden="false" customHeight="false" outlineLevel="0" collapsed="false">
      <c r="A210" s="10" t="str">
        <f aca="false">'템플릿 문항'!A209</f>
        <v>Q206</v>
      </c>
      <c r="B210" s="10" t="str">
        <f aca="false">'템플릿 문항'!E209</f>
        <v>{지자체} CCTV 영상 열람 신청은 어떻게 하나요?</v>
      </c>
      <c r="C210" s="10" t="str">
        <f aca="false">'템플릿 문항'!H209</f>
        <v>중</v>
      </c>
      <c r="D210" s="20"/>
      <c r="E210" s="20"/>
      <c r="F210" s="21"/>
      <c r="G210" s="21"/>
      <c r="H210" s="21"/>
      <c r="I210" s="21" t="n">
        <v>5</v>
      </c>
      <c r="J210" s="20"/>
      <c r="K210" s="10" t="str">
        <f aca="false">IF(OR(D210="",E210=""),"",IF(AND(D210="적합",E210="적합"),"통과","미달"))</f>
        <v/>
      </c>
      <c r="L210" s="10" t="str">
        <f aca="false">IF(F210="","",IF(F210&gt;='검증 기준'!$B$5,"통과","미달"))</f>
        <v/>
      </c>
      <c r="M210" s="10" t="str">
        <f aca="false">IF(G210="","",IF(G210&lt;='검증 기준'!$B$6,"통과","불안정"))</f>
        <v/>
      </c>
      <c r="N210" s="10" t="str">
        <f aca="false">IF(OR(H210="",I210=""),"",IF(OR(AND(H210&gt;='검증 기준'!$B$7,H210&lt;=I210-'검증 기준'!$B$8),C210="고"),"통과","예비"))</f>
        <v/>
      </c>
      <c r="O210" s="10" t="str">
        <f aca="false">IF(J210="예","공급 공백",IF(OR(K210="",L210="",M210="",N210=""),"",IF(AND(K210="통과",L210="통과",N210="통과"),IF(M210="통과","패널","패널(불안정)"),IF(N210="예비","예비","제외"))))</f>
        <v/>
      </c>
    </row>
    <row r="211" customFormat="false" ht="15" hidden="false" customHeight="false" outlineLevel="0" collapsed="false">
      <c r="A211" s="10" t="str">
        <f aca="false">'템플릿 문항'!A210</f>
        <v>Q207</v>
      </c>
      <c r="B211" s="10" t="str">
        <f aca="false">'템플릿 문항'!E210</f>
        <v>{지자체} CCTV 관제센터 전화번호가 뭔가요?</v>
      </c>
      <c r="C211" s="10" t="str">
        <f aca="false">'템플릿 문항'!H210</f>
        <v>중</v>
      </c>
      <c r="D211" s="20"/>
      <c r="E211" s="20"/>
      <c r="F211" s="21"/>
      <c r="G211" s="21"/>
      <c r="H211" s="21"/>
      <c r="I211" s="21" t="n">
        <v>5</v>
      </c>
      <c r="J211" s="20"/>
      <c r="K211" s="10" t="str">
        <f aca="false">IF(OR(D211="",E211=""),"",IF(AND(D211="적합",E211="적합"),"통과","미달"))</f>
        <v/>
      </c>
      <c r="L211" s="10" t="str">
        <f aca="false">IF(F211="","",IF(F211&gt;='검증 기준'!$B$5,"통과","미달"))</f>
        <v/>
      </c>
      <c r="M211" s="10" t="str">
        <f aca="false">IF(G211="","",IF(G211&lt;='검증 기준'!$B$6,"통과","불안정"))</f>
        <v/>
      </c>
      <c r="N211" s="10" t="str">
        <f aca="false">IF(OR(H211="",I211=""),"",IF(OR(AND(H211&gt;='검증 기준'!$B$7,H211&lt;=I211-'검증 기준'!$B$8),C211="고"),"통과","예비"))</f>
        <v/>
      </c>
      <c r="O211" s="10" t="str">
        <f aca="false">IF(J211="예","공급 공백",IF(OR(K211="",L211="",M211="",N211=""),"",IF(AND(K211="통과",L211="통과",N211="통과"),IF(M211="통과","패널","패널(불안정)"),IF(N211="예비","예비","제외"))))</f>
        <v/>
      </c>
    </row>
    <row r="212" customFormat="false" ht="15" hidden="false" customHeight="false" outlineLevel="0" collapsed="false">
      <c r="A212" s="10" t="str">
        <f aca="false">'템플릿 문항'!A211</f>
        <v>Q208</v>
      </c>
      <c r="B212" s="10" t="str">
        <f aca="false">'템플릿 문항'!E211</f>
        <v>{지자체} 공공 와이파이 이름(SSID)이 뭔가요?</v>
      </c>
      <c r="C212" s="10" t="str">
        <f aca="false">'템플릿 문항'!H211</f>
        <v>저</v>
      </c>
      <c r="D212" s="20"/>
      <c r="E212" s="20"/>
      <c r="F212" s="21"/>
      <c r="G212" s="21"/>
      <c r="H212" s="21"/>
      <c r="I212" s="21" t="n">
        <v>5</v>
      </c>
      <c r="J212" s="20"/>
      <c r="K212" s="10" t="str">
        <f aca="false">IF(OR(D212="",E212=""),"",IF(AND(D212="적합",E212="적합"),"통과","미달"))</f>
        <v/>
      </c>
      <c r="L212" s="10" t="str">
        <f aca="false">IF(F212="","",IF(F212&gt;='검증 기준'!$B$5,"통과","미달"))</f>
        <v/>
      </c>
      <c r="M212" s="10" t="str">
        <f aca="false">IF(G212="","",IF(G212&lt;='검증 기준'!$B$6,"통과","불안정"))</f>
        <v/>
      </c>
      <c r="N212" s="10" t="str">
        <f aca="false">IF(OR(H212="",I212=""),"",IF(OR(AND(H212&gt;='검증 기준'!$B$7,H212&lt;=I212-'검증 기준'!$B$8),C212="고"),"통과","예비"))</f>
        <v/>
      </c>
      <c r="O212" s="10" t="str">
        <f aca="false">IF(J212="예","공급 공백",IF(OR(K212="",L212="",M212="",N212=""),"",IF(AND(K212="통과",L212="통과",N212="통과"),IF(M212="통과","패널","패널(불안정)"),IF(N212="예비","예비","제외"))))</f>
        <v/>
      </c>
    </row>
    <row r="213" customFormat="false" ht="15" hidden="false" customHeight="false" outlineLevel="0" collapsed="false">
      <c r="A213" s="10" t="str">
        <f aca="false">'템플릿 문항'!A212</f>
        <v>Q209</v>
      </c>
      <c r="B213" s="10" t="str">
        <f aca="false">'템플릿 문항'!E212</f>
        <v>{지자체} 전입신고 하면 자동으로 처리되는 것들이 뭔가요?</v>
      </c>
      <c r="C213" s="10" t="str">
        <f aca="false">'템플릿 문항'!H212</f>
        <v>저</v>
      </c>
      <c r="D213" s="20"/>
      <c r="E213" s="20"/>
      <c r="F213" s="21"/>
      <c r="G213" s="21"/>
      <c r="H213" s="21"/>
      <c r="I213" s="21" t="n">
        <v>5</v>
      </c>
      <c r="J213" s="20"/>
      <c r="K213" s="10" t="str">
        <f aca="false">IF(OR(D213="",E213=""),"",IF(AND(D213="적합",E213="적합"),"통과","미달"))</f>
        <v/>
      </c>
      <c r="L213" s="10" t="str">
        <f aca="false">IF(F213="","",IF(F213&gt;='검증 기준'!$B$5,"통과","미달"))</f>
        <v/>
      </c>
      <c r="M213" s="10" t="str">
        <f aca="false">IF(G213="","",IF(G213&lt;='검증 기준'!$B$6,"통과","불안정"))</f>
        <v/>
      </c>
      <c r="N213" s="10" t="str">
        <f aca="false">IF(OR(H213="",I213=""),"",IF(OR(AND(H213&gt;='검증 기준'!$B$7,H213&lt;=I213-'검증 기준'!$B$8),C213="고"),"통과","예비"))</f>
        <v/>
      </c>
      <c r="O213" s="10" t="str">
        <f aca="false">IF(J213="예","공급 공백",IF(OR(K213="",L213="",M213="",N213=""),"",IF(AND(K213="통과",L213="통과",N213="통과"),IF(M213="통과","패널","패널(불안정)"),IF(N213="예비","예비","제외"))))</f>
        <v/>
      </c>
    </row>
    <row r="214" customFormat="false" ht="15" hidden="false" customHeight="false" outlineLevel="0" collapsed="false">
      <c r="A214" s="10" t="str">
        <f aca="false">'템플릿 문항'!A213</f>
        <v>Q210</v>
      </c>
      <c r="B214" s="10" t="str">
        <f aca="false">'템플릿 문항'!E213</f>
        <v>{지자체} 전입신고 후 확정일자는 어디서 받나요?</v>
      </c>
      <c r="C214" s="10" t="str">
        <f aca="false">'템플릿 문항'!H213</f>
        <v>고</v>
      </c>
      <c r="D214" s="20"/>
      <c r="E214" s="20"/>
      <c r="F214" s="21"/>
      <c r="G214" s="21"/>
      <c r="H214" s="21"/>
      <c r="I214" s="21" t="n">
        <v>5</v>
      </c>
      <c r="J214" s="20"/>
      <c r="K214" s="10" t="str">
        <f aca="false">IF(OR(D214="",E214=""),"",IF(AND(D214="적합",E214="적합"),"통과","미달"))</f>
        <v/>
      </c>
      <c r="L214" s="10" t="str">
        <f aca="false">IF(F214="","",IF(F214&gt;='검증 기준'!$B$5,"통과","미달"))</f>
        <v/>
      </c>
      <c r="M214" s="10" t="str">
        <f aca="false">IF(G214="","",IF(G214&lt;='검증 기준'!$B$6,"통과","불안정"))</f>
        <v/>
      </c>
      <c r="N214" s="10" t="str">
        <f aca="false">IF(OR(H214="",I214=""),"",IF(OR(AND(H214&gt;='검증 기준'!$B$7,H214&lt;=I214-'검증 기준'!$B$8),C214="고"),"통과","예비"))</f>
        <v/>
      </c>
      <c r="O214" s="10" t="str">
        <f aca="false">IF(J214="예","공급 공백",IF(OR(K214="",L214="",M214="",N214=""),"",IF(AND(K214="통과",L214="통과",N214="통과"),IF(M214="통과","패널","패널(불안정)"),IF(N214="예비","예비","제외"))))</f>
        <v/>
      </c>
    </row>
    <row r="215" customFormat="false" ht="15" hidden="false" customHeight="false" outlineLevel="0" collapsed="false">
      <c r="A215" s="10" t="str">
        <f aca="false">'템플릿 문항'!A214</f>
        <v>Q211</v>
      </c>
      <c r="B215" s="10" t="str">
        <f aca="false">'템플릿 문항'!E214</f>
        <v>{지자체} 등본 무료 발급 대상이 누구인가요?</v>
      </c>
      <c r="C215" s="10" t="str">
        <f aca="false">'템플릿 문항'!H214</f>
        <v>저</v>
      </c>
      <c r="D215" s="20"/>
      <c r="E215" s="20"/>
      <c r="F215" s="21"/>
      <c r="G215" s="21"/>
      <c r="H215" s="21"/>
      <c r="I215" s="21" t="n">
        <v>5</v>
      </c>
      <c r="J215" s="20"/>
      <c r="K215" s="10" t="str">
        <f aca="false">IF(OR(D215="",E215=""),"",IF(AND(D215="적합",E215="적합"),"통과","미달"))</f>
        <v/>
      </c>
      <c r="L215" s="10" t="str">
        <f aca="false">IF(F215="","",IF(F215&gt;='검증 기준'!$B$5,"통과","미달"))</f>
        <v/>
      </c>
      <c r="M215" s="10" t="str">
        <f aca="false">IF(G215="","",IF(G215&lt;='검증 기준'!$B$6,"통과","불안정"))</f>
        <v/>
      </c>
      <c r="N215" s="10" t="str">
        <f aca="false">IF(OR(H215="",I215=""),"",IF(OR(AND(H215&gt;='검증 기준'!$B$7,H215&lt;=I215-'검증 기준'!$B$8),C215="고"),"통과","예비"))</f>
        <v/>
      </c>
      <c r="O215" s="10" t="str">
        <f aca="false">IF(J215="예","공급 공백",IF(OR(K215="",L215="",M215="",N215=""),"",IF(AND(K215="통과",L215="통과",N215="통과"),IF(M215="통과","패널","패널(불안정)"),IF(N215="예비","예비","제외"))))</f>
        <v/>
      </c>
    </row>
    <row r="216" customFormat="false" ht="15" hidden="false" customHeight="false" outlineLevel="0" collapsed="false">
      <c r="A216" s="10" t="str">
        <f aca="false">'템플릿 문항'!A215</f>
        <v>Q212</v>
      </c>
      <c r="B216" s="10" t="str">
        <f aca="false">'템플릿 문항'!E215</f>
        <v>{지자체} {동} 주민센터 주소가 어디인가요?</v>
      </c>
      <c r="C216" s="10" t="str">
        <f aca="false">'템플릿 문항'!H215</f>
        <v>저</v>
      </c>
      <c r="D216" s="20"/>
      <c r="E216" s="20"/>
      <c r="F216" s="21"/>
      <c r="G216" s="21"/>
      <c r="H216" s="21"/>
      <c r="I216" s="21" t="n">
        <v>5</v>
      </c>
      <c r="J216" s="20"/>
      <c r="K216" s="10" t="str">
        <f aca="false">IF(OR(D216="",E216=""),"",IF(AND(D216="적합",E216="적합"),"통과","미달"))</f>
        <v/>
      </c>
      <c r="L216" s="10" t="str">
        <f aca="false">IF(F216="","",IF(F216&gt;='검증 기준'!$B$5,"통과","미달"))</f>
        <v/>
      </c>
      <c r="M216" s="10" t="str">
        <f aca="false">IF(G216="","",IF(G216&lt;='검증 기준'!$B$6,"통과","불안정"))</f>
        <v/>
      </c>
      <c r="N216" s="10" t="str">
        <f aca="false">IF(OR(H216="",I216=""),"",IF(OR(AND(H216&gt;='검증 기준'!$B$7,H216&lt;=I216-'검증 기준'!$B$8),C216="고"),"통과","예비"))</f>
        <v/>
      </c>
      <c r="O216" s="10" t="str">
        <f aca="false">IF(J216="예","공급 공백",IF(OR(K216="",L216="",M216="",N216=""),"",IF(AND(K216="통과",L216="통과",N216="통과"),IF(M216="통과","패널","패널(불안정)"),IF(N216="예비","예비","제외"))))</f>
        <v/>
      </c>
    </row>
    <row r="217" customFormat="false" ht="15" hidden="false" customHeight="false" outlineLevel="0" collapsed="false">
      <c r="A217" s="10" t="str">
        <f aca="false">'템플릿 문항'!A216</f>
        <v>Q213</v>
      </c>
      <c r="B217" s="10" t="str">
        <f aca="false">'템플릿 문항'!E216</f>
        <v>{지자체} 인감 분실 신고는 어떻게 하나요?</v>
      </c>
      <c r="C217" s="10" t="str">
        <f aca="false">'템플릿 문항'!H216</f>
        <v>고</v>
      </c>
      <c r="D217" s="20"/>
      <c r="E217" s="20"/>
      <c r="F217" s="21"/>
      <c r="G217" s="21"/>
      <c r="H217" s="21"/>
      <c r="I217" s="21" t="n">
        <v>5</v>
      </c>
      <c r="J217" s="20"/>
      <c r="K217" s="10" t="str">
        <f aca="false">IF(OR(D217="",E217=""),"",IF(AND(D217="적합",E217="적합"),"통과","미달"))</f>
        <v/>
      </c>
      <c r="L217" s="10" t="str">
        <f aca="false">IF(F217="","",IF(F217&gt;='검증 기준'!$B$5,"통과","미달"))</f>
        <v/>
      </c>
      <c r="M217" s="10" t="str">
        <f aca="false">IF(G217="","",IF(G217&lt;='검증 기준'!$B$6,"통과","불안정"))</f>
        <v/>
      </c>
      <c r="N217" s="10" t="str">
        <f aca="false">IF(OR(H217="",I217=""),"",IF(OR(AND(H217&gt;='검증 기준'!$B$7,H217&lt;=I217-'검증 기준'!$B$8),C217="고"),"통과","예비"))</f>
        <v/>
      </c>
      <c r="O217" s="10" t="str">
        <f aca="false">IF(J217="예","공급 공백",IF(OR(K217="",L217="",M217="",N217=""),"",IF(AND(K217="통과",L217="통과",N217="통과"),IF(M217="통과","패널","패널(불안정)"),IF(N217="예비","예비","제외"))))</f>
        <v/>
      </c>
    </row>
    <row r="218" customFormat="false" ht="15" hidden="false" customHeight="false" outlineLevel="0" collapsed="false">
      <c r="A218" s="10" t="str">
        <f aca="false">'템플릿 문항'!A217</f>
        <v>Q214</v>
      </c>
      <c r="B218" s="10" t="str">
        <f aca="false">'템플릿 문항'!E217</f>
        <v>{지자체} 긴급 여권 당일 발급 되나요?</v>
      </c>
      <c r="C218" s="10" t="str">
        <f aca="false">'템플릿 문항'!H217</f>
        <v>중</v>
      </c>
      <c r="D218" s="20"/>
      <c r="E218" s="20"/>
      <c r="F218" s="21"/>
      <c r="G218" s="21"/>
      <c r="H218" s="21"/>
      <c r="I218" s="21" t="n">
        <v>5</v>
      </c>
      <c r="J218" s="20"/>
      <c r="K218" s="10" t="str">
        <f aca="false">IF(OR(D218="",E218=""),"",IF(AND(D218="적합",E218="적합"),"통과","미달"))</f>
        <v/>
      </c>
      <c r="L218" s="10" t="str">
        <f aca="false">IF(F218="","",IF(F218&gt;='검증 기준'!$B$5,"통과","미달"))</f>
        <v/>
      </c>
      <c r="M218" s="10" t="str">
        <f aca="false">IF(G218="","",IF(G218&lt;='검증 기준'!$B$6,"통과","불안정"))</f>
        <v/>
      </c>
      <c r="N218" s="10" t="str">
        <f aca="false">IF(OR(H218="",I218=""),"",IF(OR(AND(H218&gt;='검증 기준'!$B$7,H218&lt;=I218-'검증 기준'!$B$8),C218="고"),"통과","예비"))</f>
        <v/>
      </c>
      <c r="O218" s="10" t="str">
        <f aca="false">IF(J218="예","공급 공백",IF(OR(K218="",L218="",M218="",N218=""),"",IF(AND(K218="통과",L218="통과",N218="통과"),IF(M218="통과","패널","패널(불안정)"),IF(N218="예비","예비","제외"))))</f>
        <v/>
      </c>
    </row>
    <row r="219" customFormat="false" ht="15" hidden="false" customHeight="false" outlineLevel="0" collapsed="false">
      <c r="A219" s="10" t="str">
        <f aca="false">'템플릿 문항'!A218</f>
        <v>Q215</v>
      </c>
      <c r="B219" s="10" t="str">
        <f aca="false">'템플릿 문항'!E218</f>
        <v>{지자체} 여권 사진 규격 확인은 어디서 하나요?</v>
      </c>
      <c r="C219" s="10" t="str">
        <f aca="false">'템플릿 문항'!H218</f>
        <v>저</v>
      </c>
      <c r="D219" s="20"/>
      <c r="E219" s="20"/>
      <c r="F219" s="21"/>
      <c r="G219" s="21"/>
      <c r="H219" s="21"/>
      <c r="I219" s="21" t="n">
        <v>5</v>
      </c>
      <c r="J219" s="20"/>
      <c r="K219" s="10" t="str">
        <f aca="false">IF(OR(D219="",E219=""),"",IF(AND(D219="적합",E219="적합"),"통과","미달"))</f>
        <v/>
      </c>
      <c r="L219" s="10" t="str">
        <f aca="false">IF(F219="","",IF(F219&gt;='검증 기준'!$B$5,"통과","미달"))</f>
        <v/>
      </c>
      <c r="M219" s="10" t="str">
        <f aca="false">IF(G219="","",IF(G219&lt;='검증 기준'!$B$6,"통과","불안정"))</f>
        <v/>
      </c>
      <c r="N219" s="10" t="str">
        <f aca="false">IF(OR(H219="",I219=""),"",IF(OR(AND(H219&gt;='검증 기준'!$B$7,H219&lt;=I219-'검증 기준'!$B$8),C219="고"),"통과","예비"))</f>
        <v/>
      </c>
      <c r="O219" s="10" t="str">
        <f aca="false">IF(J219="예","공급 공백",IF(OR(K219="",L219="",M219="",N219=""),"",IF(AND(K219="통과",L219="통과",N219="통과"),IF(M219="통과","패널","패널(불안정)"),IF(N219="예비","예비","제외"))))</f>
        <v/>
      </c>
    </row>
    <row r="220" customFormat="false" ht="15" hidden="false" customHeight="false" outlineLevel="0" collapsed="false">
      <c r="A220" s="10" t="str">
        <f aca="false">'템플릿 문항'!A219</f>
        <v>Q216</v>
      </c>
      <c r="B220" s="10" t="str">
        <f aca="false">'템플릿 문항'!E219</f>
        <v>{지자체} {동} 재활용품 배출 요일이 언제인가요?</v>
      </c>
      <c r="C220" s="10" t="str">
        <f aca="false">'템플릿 문항'!H219</f>
        <v>중</v>
      </c>
      <c r="D220" s="20"/>
      <c r="E220" s="20"/>
      <c r="F220" s="21"/>
      <c r="G220" s="21"/>
      <c r="H220" s="21"/>
      <c r="I220" s="21" t="n">
        <v>5</v>
      </c>
      <c r="J220" s="20"/>
      <c r="K220" s="10" t="str">
        <f aca="false">IF(OR(D220="",E220=""),"",IF(AND(D220="적합",E220="적합"),"통과","미달"))</f>
        <v/>
      </c>
      <c r="L220" s="10" t="str">
        <f aca="false">IF(F220="","",IF(F220&gt;='검증 기준'!$B$5,"통과","미달"))</f>
        <v/>
      </c>
      <c r="M220" s="10" t="str">
        <f aca="false">IF(G220="","",IF(G220&lt;='검증 기준'!$B$6,"통과","불안정"))</f>
        <v/>
      </c>
      <c r="N220" s="10" t="str">
        <f aca="false">IF(OR(H220="",I220=""),"",IF(OR(AND(H220&gt;='검증 기준'!$B$7,H220&lt;=I220-'검증 기준'!$B$8),C220="고"),"통과","예비"))</f>
        <v/>
      </c>
      <c r="O220" s="10" t="str">
        <f aca="false">IF(J220="예","공급 공백",IF(OR(K220="",L220="",M220="",N220=""),"",IF(AND(K220="통과",L220="통과",N220="통과"),IF(M220="통과","패널","패널(불안정)"),IF(N220="예비","예비","제외"))))</f>
        <v/>
      </c>
    </row>
    <row r="221" customFormat="false" ht="15" hidden="false" customHeight="false" outlineLevel="0" collapsed="false">
      <c r="A221" s="10" t="str">
        <f aca="false">'템플릿 문항'!A220</f>
        <v>Q217</v>
      </c>
      <c r="B221" s="10" t="str">
        <f aca="false">'템플릿 문항'!E220</f>
        <v>{지자체} 명절 연휴 쓰레기 수거 안 하는 날이 언제인가요?</v>
      </c>
      <c r="C221" s="10" t="str">
        <f aca="false">'템플릿 문항'!H220</f>
        <v>중</v>
      </c>
      <c r="D221" s="20"/>
      <c r="E221" s="20"/>
      <c r="F221" s="21"/>
      <c r="G221" s="21"/>
      <c r="H221" s="21"/>
      <c r="I221" s="21" t="n">
        <v>5</v>
      </c>
      <c r="J221" s="20"/>
      <c r="K221" s="10" t="str">
        <f aca="false">IF(OR(D221="",E221=""),"",IF(AND(D221="적합",E221="적합"),"통과","미달"))</f>
        <v/>
      </c>
      <c r="L221" s="10" t="str">
        <f aca="false">IF(F221="","",IF(F221&gt;='검증 기준'!$B$5,"통과","미달"))</f>
        <v/>
      </c>
      <c r="M221" s="10" t="str">
        <f aca="false">IF(G221="","",IF(G221&lt;='검증 기준'!$B$6,"통과","불안정"))</f>
        <v/>
      </c>
      <c r="N221" s="10" t="str">
        <f aca="false">IF(OR(H221="",I221=""),"",IF(OR(AND(H221&gt;='검증 기준'!$B$7,H221&lt;=I221-'검증 기준'!$B$8),C221="고"),"통과","예비"))</f>
        <v/>
      </c>
      <c r="O221" s="10" t="str">
        <f aca="false">IF(J221="예","공급 공백",IF(OR(K221="",L221="",M221="",N221=""),"",IF(AND(K221="통과",L221="통과",N221="통과"),IF(M221="통과","패널","패널(불안정)"),IF(N221="예비","예비","제외"))))</f>
        <v/>
      </c>
    </row>
    <row r="222" customFormat="false" ht="15" hidden="false" customHeight="false" outlineLevel="0" collapsed="false">
      <c r="A222" s="10" t="str">
        <f aca="false">'템플릿 문항'!A221</f>
        <v>Q218</v>
      </c>
      <c r="B222" s="10" t="str">
        <f aca="false">'템플릿 문항'!E221</f>
        <v>{지자체} {대형품목} 무상 수거 신청 방법이 뭔가요?</v>
      </c>
      <c r="C222" s="10" t="str">
        <f aca="false">'템플릿 문항'!H221</f>
        <v>저</v>
      </c>
      <c r="D222" s="20"/>
      <c r="E222" s="20"/>
      <c r="F222" s="21"/>
      <c r="G222" s="21"/>
      <c r="H222" s="21"/>
      <c r="I222" s="21" t="n">
        <v>5</v>
      </c>
      <c r="J222" s="20"/>
      <c r="K222" s="10" t="str">
        <f aca="false">IF(OR(D222="",E222=""),"",IF(AND(D222="적합",E222="적합"),"통과","미달"))</f>
        <v/>
      </c>
      <c r="L222" s="10" t="str">
        <f aca="false">IF(F222="","",IF(F222&gt;='검증 기준'!$B$5,"통과","미달"))</f>
        <v/>
      </c>
      <c r="M222" s="10" t="str">
        <f aca="false">IF(G222="","",IF(G222&lt;='검증 기준'!$B$6,"통과","불안정"))</f>
        <v/>
      </c>
      <c r="N222" s="10" t="str">
        <f aca="false">IF(OR(H222="",I222=""),"",IF(OR(AND(H222&gt;='검증 기준'!$B$7,H222&lt;=I222-'검증 기준'!$B$8),C222="고"),"통과","예비"))</f>
        <v/>
      </c>
      <c r="O222" s="10" t="str">
        <f aca="false">IF(J222="예","공급 공백",IF(OR(K222="",L222="",M222="",N222=""),"",IF(AND(K222="통과",L222="통과",N222="통과"),IF(M222="통과","패널","패널(불안정)"),IF(N222="예비","예비","제외"))))</f>
        <v/>
      </c>
    </row>
    <row r="223" customFormat="false" ht="15" hidden="false" customHeight="false" outlineLevel="0" collapsed="false">
      <c r="A223" s="10" t="str">
        <f aca="false">'템플릿 문항'!A222</f>
        <v>Q219</v>
      </c>
      <c r="B223" s="10" t="str">
        <f aca="false">'템플릿 문항'!E222</f>
        <v>{지자체} 대형폐기물 담당 전화번호가 뭔가요?</v>
      </c>
      <c r="C223" s="10" t="str">
        <f aca="false">'템플릿 문항'!H222</f>
        <v>중</v>
      </c>
      <c r="D223" s="20"/>
      <c r="E223" s="20"/>
      <c r="F223" s="21"/>
      <c r="G223" s="21"/>
      <c r="H223" s="21"/>
      <c r="I223" s="21" t="n">
        <v>5</v>
      </c>
      <c r="J223" s="20"/>
      <c r="K223" s="10" t="str">
        <f aca="false">IF(OR(D223="",E223=""),"",IF(AND(D223="적합",E223="적합"),"통과","미달"))</f>
        <v/>
      </c>
      <c r="L223" s="10" t="str">
        <f aca="false">IF(F223="","",IF(F223&gt;='검증 기준'!$B$5,"통과","미달"))</f>
        <v/>
      </c>
      <c r="M223" s="10" t="str">
        <f aca="false">IF(G223="","",IF(G223&lt;='검증 기준'!$B$6,"통과","불안정"))</f>
        <v/>
      </c>
      <c r="N223" s="10" t="str">
        <f aca="false">IF(OR(H223="",I223=""),"",IF(OR(AND(H223&gt;='검증 기준'!$B$7,H223&lt;=I223-'검증 기준'!$B$8),C223="고"),"통과","예비"))</f>
        <v/>
      </c>
      <c r="O223" s="10" t="str">
        <f aca="false">IF(J223="예","공급 공백",IF(OR(K223="",L223="",M223="",N223=""),"",IF(AND(K223="통과",L223="통과",N223="통과"),IF(M223="통과","패널","패널(불안정)"),IF(N223="예비","예비","제외"))))</f>
        <v/>
      </c>
    </row>
    <row r="224" customFormat="false" ht="15" hidden="false" customHeight="false" outlineLevel="0" collapsed="false">
      <c r="A224" s="10" t="str">
        <f aca="false">'템플릿 문항'!A223</f>
        <v>Q220</v>
      </c>
      <c r="B224" s="10" t="str">
        <f aca="false">'템플릿 문항'!E223</f>
        <v>{지자체} 음식물쓰레기 RFID 카드는 어디서 발급받나요?</v>
      </c>
      <c r="C224" s="10" t="str">
        <f aca="false">'템플릿 문항'!H223</f>
        <v>중</v>
      </c>
      <c r="D224" s="20"/>
      <c r="E224" s="20"/>
      <c r="F224" s="21"/>
      <c r="G224" s="21"/>
      <c r="H224" s="21"/>
      <c r="I224" s="21" t="n">
        <v>5</v>
      </c>
      <c r="J224" s="20"/>
      <c r="K224" s="10" t="str">
        <f aca="false">IF(OR(D224="",E224=""),"",IF(AND(D224="적합",E224="적합"),"통과","미달"))</f>
        <v/>
      </c>
      <c r="L224" s="10" t="str">
        <f aca="false">IF(F224="","",IF(F224&gt;='검증 기준'!$B$5,"통과","미달"))</f>
        <v/>
      </c>
      <c r="M224" s="10" t="str">
        <f aca="false">IF(G224="","",IF(G224&lt;='검증 기준'!$B$6,"통과","불안정"))</f>
        <v/>
      </c>
      <c r="N224" s="10" t="str">
        <f aca="false">IF(OR(H224="",I224=""),"",IF(OR(AND(H224&gt;='검증 기준'!$B$7,H224&lt;=I224-'검증 기준'!$B$8),C224="고"),"통과","예비"))</f>
        <v/>
      </c>
      <c r="O224" s="10" t="str">
        <f aca="false">IF(J224="예","공급 공백",IF(OR(K224="",L224="",M224="",N224=""),"",IF(AND(K224="통과",L224="통과",N224="통과"),IF(M224="통과","패널","패널(불안정)"),IF(N224="예비","예비","제외"))))</f>
        <v/>
      </c>
    </row>
    <row r="225" customFormat="false" ht="15" hidden="false" customHeight="false" outlineLevel="0" collapsed="false">
      <c r="A225" s="10" t="str">
        <f aca="false">'템플릿 문항'!A224</f>
        <v>Q221</v>
      </c>
      <c r="B225" s="10" t="str">
        <f aca="false">'템플릿 문항'!E224</f>
        <v>{지자체} 음식물쓰레기 수거 업체 연락처가 뭔가요?</v>
      </c>
      <c r="C225" s="10" t="str">
        <f aca="false">'템플릿 문항'!H224</f>
        <v>저</v>
      </c>
      <c r="D225" s="20"/>
      <c r="E225" s="20"/>
      <c r="F225" s="21"/>
      <c r="G225" s="21"/>
      <c r="H225" s="21"/>
      <c r="I225" s="21" t="n">
        <v>5</v>
      </c>
      <c r="J225" s="20"/>
      <c r="K225" s="10" t="str">
        <f aca="false">IF(OR(D225="",E225=""),"",IF(AND(D225="적합",E225="적합"),"통과","미달"))</f>
        <v/>
      </c>
      <c r="L225" s="10" t="str">
        <f aca="false">IF(F225="","",IF(F225&gt;='검증 기준'!$B$5,"통과","미달"))</f>
        <v/>
      </c>
      <c r="M225" s="10" t="str">
        <f aca="false">IF(G225="","",IF(G225&lt;='검증 기준'!$B$6,"통과","불안정"))</f>
        <v/>
      </c>
      <c r="N225" s="10" t="str">
        <f aca="false">IF(OR(H225="",I225=""),"",IF(OR(AND(H225&gt;='검증 기준'!$B$7,H225&lt;=I225-'검증 기준'!$B$8),C225="고"),"통과","예비"))</f>
        <v/>
      </c>
      <c r="O225" s="10" t="str">
        <f aca="false">IF(J225="예","공급 공백",IF(OR(K225="",L225="",M225="",N225=""),"",IF(AND(K225="통과",L225="통과",N225="통과"),IF(M225="통과","패널","패널(불안정)"),IF(N225="예비","예비","제외"))))</f>
        <v/>
      </c>
    </row>
    <row r="226" customFormat="false" ht="15" hidden="false" customHeight="false" outlineLevel="0" collapsed="false">
      <c r="A226" s="10" t="str">
        <f aca="false">'템플릿 문항'!A225</f>
        <v>Q222</v>
      </c>
      <c r="B226" s="10" t="str">
        <f aca="false">'템플릿 문항'!E225</f>
        <v>{지자체} 종량제 봉투 환불이나 교환 되나요?</v>
      </c>
      <c r="C226" s="10" t="str">
        <f aca="false">'템플릿 문항'!H225</f>
        <v>저</v>
      </c>
      <c r="D226" s="20"/>
      <c r="E226" s="20"/>
      <c r="F226" s="21"/>
      <c r="G226" s="21"/>
      <c r="H226" s="21"/>
      <c r="I226" s="21" t="n">
        <v>5</v>
      </c>
      <c r="J226" s="20"/>
      <c r="K226" s="10" t="str">
        <f aca="false">IF(OR(D226="",E226=""),"",IF(AND(D226="적합",E226="적합"),"통과","미달"))</f>
        <v/>
      </c>
      <c r="L226" s="10" t="str">
        <f aca="false">IF(F226="","",IF(F226&gt;='검증 기준'!$B$5,"통과","미달"))</f>
        <v/>
      </c>
      <c r="M226" s="10" t="str">
        <f aca="false">IF(G226="","",IF(G226&lt;='검증 기준'!$B$6,"통과","불안정"))</f>
        <v/>
      </c>
      <c r="N226" s="10" t="str">
        <f aca="false">IF(OR(H226="",I226=""),"",IF(OR(AND(H226&gt;='검증 기준'!$B$7,H226&lt;=I226-'검증 기준'!$B$8),C226="고"),"통과","예비"))</f>
        <v/>
      </c>
      <c r="O226" s="10" t="str">
        <f aca="false">IF(J226="예","공급 공백",IF(OR(K226="",L226="",M226="",N226=""),"",IF(AND(K226="통과",L226="통과",N226="통과"),IF(M226="통과","패널","패널(불안정)"),IF(N226="예비","예비","제외"))))</f>
        <v/>
      </c>
    </row>
    <row r="227" customFormat="false" ht="15" hidden="false" customHeight="false" outlineLevel="0" collapsed="false">
      <c r="A227" s="10" t="str">
        <f aca="false">'템플릿 문항'!A226</f>
        <v>Q223</v>
      </c>
      <c r="B227" s="10" t="str">
        <f aca="false">'템플릿 문항'!E226</f>
        <v>{지자체} 공공용 종량제 봉투는 누가 받을 수 있나요?</v>
      </c>
      <c r="C227" s="10" t="str">
        <f aca="false">'템플릿 문항'!H226</f>
        <v>저</v>
      </c>
      <c r="D227" s="20"/>
      <c r="E227" s="20"/>
      <c r="F227" s="21"/>
      <c r="G227" s="21"/>
      <c r="H227" s="21"/>
      <c r="I227" s="21" t="n">
        <v>5</v>
      </c>
      <c r="J227" s="20"/>
      <c r="K227" s="10" t="str">
        <f aca="false">IF(OR(D227="",E227=""),"",IF(AND(D227="적합",E227="적합"),"통과","미달"))</f>
        <v/>
      </c>
      <c r="L227" s="10" t="str">
        <f aca="false">IF(F227="","",IF(F227&gt;='검증 기준'!$B$5,"통과","미달"))</f>
        <v/>
      </c>
      <c r="M227" s="10" t="str">
        <f aca="false">IF(G227="","",IF(G227&lt;='검증 기준'!$B$6,"통과","불안정"))</f>
        <v/>
      </c>
      <c r="N227" s="10" t="str">
        <f aca="false">IF(OR(H227="",I227=""),"",IF(OR(AND(H227&gt;='검증 기준'!$B$7,H227&lt;=I227-'검증 기준'!$B$8),C227="고"),"통과","예비"))</f>
        <v/>
      </c>
      <c r="O227" s="10" t="str">
        <f aca="false">IF(J227="예","공급 공백",IF(OR(K227="",L227="",M227="",N227=""),"",IF(AND(K227="통과",L227="통과",N227="통과"),IF(M227="통과","패널","패널(불안정)"),IF(N227="예비","예비","제외"))))</f>
        <v/>
      </c>
    </row>
    <row r="228" customFormat="false" ht="15" hidden="false" customHeight="false" outlineLevel="0" collapsed="false">
      <c r="A228" s="10" t="str">
        <f aca="false">'템플릿 문항'!A227</f>
        <v>Q224</v>
      </c>
      <c r="B228" s="10" t="str">
        <f aca="false">'템플릿 문항'!E227</f>
        <v>{지자체} {동} 주정차 단속 카메라 구간이 어디인가요?</v>
      </c>
      <c r="C228" s="10" t="str">
        <f aca="false">'템플릿 문항'!H227</f>
        <v>고</v>
      </c>
      <c r="D228" s="20"/>
      <c r="E228" s="20"/>
      <c r="F228" s="21"/>
      <c r="G228" s="21"/>
      <c r="H228" s="21"/>
      <c r="I228" s="21" t="n">
        <v>5</v>
      </c>
      <c r="J228" s="20"/>
      <c r="K228" s="10" t="str">
        <f aca="false">IF(OR(D228="",E228=""),"",IF(AND(D228="적합",E228="적합"),"통과","미달"))</f>
        <v/>
      </c>
      <c r="L228" s="10" t="str">
        <f aca="false">IF(F228="","",IF(F228&gt;='검증 기준'!$B$5,"통과","미달"))</f>
        <v/>
      </c>
      <c r="M228" s="10" t="str">
        <f aca="false">IF(G228="","",IF(G228&lt;='검증 기준'!$B$6,"통과","불안정"))</f>
        <v/>
      </c>
      <c r="N228" s="10" t="str">
        <f aca="false">IF(OR(H228="",I228=""),"",IF(OR(AND(H228&gt;='검증 기준'!$B$7,H228&lt;=I228-'검증 기준'!$B$8),C228="고"),"통과","예비"))</f>
        <v/>
      </c>
      <c r="O228" s="10" t="str">
        <f aca="false">IF(J228="예","공급 공백",IF(OR(K228="",L228="",M228="",N228=""),"",IF(AND(K228="통과",L228="통과",N228="통과"),IF(M228="통과","패널","패널(불안정)"),IF(N228="예비","예비","제외"))))</f>
        <v/>
      </c>
    </row>
    <row r="229" customFormat="false" ht="15" hidden="false" customHeight="false" outlineLevel="0" collapsed="false">
      <c r="A229" s="10" t="str">
        <f aca="false">'템플릿 문항'!A228</f>
        <v>Q225</v>
      </c>
      <c r="B229" s="10" t="str">
        <f aca="false">'템플릿 문항'!E228</f>
        <v>{지자체} 주정차 과태료 사전 납부 감경이 얼마인가요?</v>
      </c>
      <c r="C229" s="10" t="str">
        <f aca="false">'템플릿 문항'!H228</f>
        <v>고</v>
      </c>
      <c r="D229" s="20"/>
      <c r="E229" s="20"/>
      <c r="F229" s="21"/>
      <c r="G229" s="21"/>
      <c r="H229" s="21"/>
      <c r="I229" s="21" t="n">
        <v>5</v>
      </c>
      <c r="J229" s="20"/>
      <c r="K229" s="10" t="str">
        <f aca="false">IF(OR(D229="",E229=""),"",IF(AND(D229="적합",E229="적합"),"통과","미달"))</f>
        <v/>
      </c>
      <c r="L229" s="10" t="str">
        <f aca="false">IF(F229="","",IF(F229&gt;='검증 기준'!$B$5,"통과","미달"))</f>
        <v/>
      </c>
      <c r="M229" s="10" t="str">
        <f aca="false">IF(G229="","",IF(G229&lt;='검증 기준'!$B$6,"통과","불안정"))</f>
        <v/>
      </c>
      <c r="N229" s="10" t="str">
        <f aca="false">IF(OR(H229="",I229=""),"",IF(OR(AND(H229&gt;='검증 기준'!$B$7,H229&lt;=I229-'검증 기준'!$B$8),C229="고"),"통과","예비"))</f>
        <v/>
      </c>
      <c r="O229" s="10" t="str">
        <f aca="false">IF(J229="예","공급 공백",IF(OR(K229="",L229="",M229="",N229=""),"",IF(AND(K229="통과",L229="통과",N229="통과"),IF(M229="통과","패널","패널(불안정)"),IF(N229="예비","예비","제외"))))</f>
        <v/>
      </c>
    </row>
    <row r="230" customFormat="false" ht="15" hidden="false" customHeight="false" outlineLevel="0" collapsed="false">
      <c r="A230" s="10" t="str">
        <f aca="false">'템플릿 문항'!A229</f>
        <v>Q226</v>
      </c>
      <c r="B230" s="10" t="str">
        <f aca="false">'템플릿 문항'!E229</f>
        <v>{지자체} {동} 거주자우선주차 신청은 어디서 하나요?</v>
      </c>
      <c r="C230" s="10" t="str">
        <f aca="false">'템플릿 문항'!H229</f>
        <v>중</v>
      </c>
      <c r="D230" s="20"/>
      <c r="E230" s="20"/>
      <c r="F230" s="21"/>
      <c r="G230" s="21"/>
      <c r="H230" s="21"/>
      <c r="I230" s="21" t="n">
        <v>5</v>
      </c>
      <c r="J230" s="20"/>
      <c r="K230" s="10" t="str">
        <f aca="false">IF(OR(D230="",E230=""),"",IF(AND(D230="적합",E230="적합"),"통과","미달"))</f>
        <v/>
      </c>
      <c r="L230" s="10" t="str">
        <f aca="false">IF(F230="","",IF(F230&gt;='검증 기준'!$B$5,"통과","미달"))</f>
        <v/>
      </c>
      <c r="M230" s="10" t="str">
        <f aca="false">IF(G230="","",IF(G230&lt;='검증 기준'!$B$6,"통과","불안정"))</f>
        <v/>
      </c>
      <c r="N230" s="10" t="str">
        <f aca="false">IF(OR(H230="",I230=""),"",IF(OR(AND(H230&gt;='검증 기준'!$B$7,H230&lt;=I230-'검증 기준'!$B$8),C230="고"),"통과","예비"))</f>
        <v/>
      </c>
      <c r="O230" s="10" t="str">
        <f aca="false">IF(J230="예","공급 공백",IF(OR(K230="",L230="",M230="",N230=""),"",IF(AND(K230="통과",L230="통과",N230="통과"),IF(M230="통과","패널","패널(불안정)"),IF(N230="예비","예비","제외"))))</f>
        <v/>
      </c>
    </row>
    <row r="231" customFormat="false" ht="15" hidden="false" customHeight="false" outlineLevel="0" collapsed="false">
      <c r="A231" s="10" t="str">
        <f aca="false">'템플릿 문항'!A230</f>
        <v>Q227</v>
      </c>
      <c r="B231" s="10" t="str">
        <f aca="false">'템플릿 문항'!E230</f>
        <v>{지자체} 거주자우선주차 담당 부서 전화번호가 뭔가요?</v>
      </c>
      <c r="C231" s="10" t="str">
        <f aca="false">'템플릿 문항'!H230</f>
        <v>중</v>
      </c>
      <c r="D231" s="20"/>
      <c r="E231" s="20"/>
      <c r="F231" s="21"/>
      <c r="G231" s="21"/>
      <c r="H231" s="21"/>
      <c r="I231" s="21" t="n">
        <v>5</v>
      </c>
      <c r="J231" s="20"/>
      <c r="K231" s="10" t="str">
        <f aca="false">IF(OR(D231="",E231=""),"",IF(AND(D231="적합",E231="적합"),"통과","미달"))</f>
        <v/>
      </c>
      <c r="L231" s="10" t="str">
        <f aca="false">IF(F231="","",IF(F231&gt;='검증 기준'!$B$5,"통과","미달"))</f>
        <v/>
      </c>
      <c r="M231" s="10" t="str">
        <f aca="false">IF(G231="","",IF(G231&lt;='검증 기준'!$B$6,"통과","불안정"))</f>
        <v/>
      </c>
      <c r="N231" s="10" t="str">
        <f aca="false">IF(OR(H231="",I231=""),"",IF(OR(AND(H231&gt;='검증 기준'!$B$7,H231&lt;=I231-'검증 기준'!$B$8),C231="고"),"통과","예비"))</f>
        <v/>
      </c>
      <c r="O231" s="10" t="str">
        <f aca="false">IF(J231="예","공급 공백",IF(OR(K231="",L231="",M231="",N231=""),"",IF(AND(K231="통과",L231="통과",N231="통과"),IF(M231="통과","패널","패널(불안정)"),IF(N231="예비","예비","제외"))))</f>
        <v/>
      </c>
    </row>
    <row r="232" customFormat="false" ht="15" hidden="false" customHeight="false" outlineLevel="0" collapsed="false">
      <c r="A232" s="10" t="str">
        <f aca="false">'템플릿 문항'!A231</f>
        <v>Q228</v>
      </c>
      <c r="B232" s="10" t="str">
        <f aca="false">'템플릿 문항'!E231</f>
        <v>{지자체} {공영주차장} 위치가 어디인가요?</v>
      </c>
      <c r="C232" s="10" t="str">
        <f aca="false">'템플릿 문항'!H231</f>
        <v>저</v>
      </c>
      <c r="D232" s="20"/>
      <c r="E232" s="20"/>
      <c r="F232" s="21"/>
      <c r="G232" s="21"/>
      <c r="H232" s="21"/>
      <c r="I232" s="21" t="n">
        <v>5</v>
      </c>
      <c r="J232" s="20"/>
      <c r="K232" s="10" t="str">
        <f aca="false">IF(OR(D232="",E232=""),"",IF(AND(D232="적합",E232="적합"),"통과","미달"))</f>
        <v/>
      </c>
      <c r="L232" s="10" t="str">
        <f aca="false">IF(F232="","",IF(F232&gt;='검증 기준'!$B$5,"통과","미달"))</f>
        <v/>
      </c>
      <c r="M232" s="10" t="str">
        <f aca="false">IF(G232="","",IF(G232&lt;='검증 기준'!$B$6,"통과","불안정"))</f>
        <v/>
      </c>
      <c r="N232" s="10" t="str">
        <f aca="false">IF(OR(H232="",I232=""),"",IF(OR(AND(H232&gt;='검증 기준'!$B$7,H232&lt;=I232-'검증 기준'!$B$8),C232="고"),"통과","예비"))</f>
        <v/>
      </c>
      <c r="O232" s="10" t="str">
        <f aca="false">IF(J232="예","공급 공백",IF(OR(K232="",L232="",M232="",N232=""),"",IF(AND(K232="통과",L232="통과",N232="통과"),IF(M232="통과","패널","패널(불안정)"),IF(N232="예비","예비","제외"))))</f>
        <v/>
      </c>
    </row>
    <row r="233" customFormat="false" ht="15" hidden="false" customHeight="false" outlineLevel="0" collapsed="false">
      <c r="A233" s="10" t="str">
        <f aca="false">'템플릿 문항'!A232</f>
        <v>Q229</v>
      </c>
      <c r="B233" s="10" t="str">
        <f aca="false">'템플릿 문항'!E232</f>
        <v>{지자체} {공영주차장} 요금이 얼마인가요?</v>
      </c>
      <c r="C233" s="10" t="str">
        <f aca="false">'템플릿 문항'!H232</f>
        <v>저</v>
      </c>
      <c r="D233" s="20"/>
      <c r="E233" s="20"/>
      <c r="F233" s="21"/>
      <c r="G233" s="21"/>
      <c r="H233" s="21"/>
      <c r="I233" s="21" t="n">
        <v>5</v>
      </c>
      <c r="J233" s="20"/>
      <c r="K233" s="10" t="str">
        <f aca="false">IF(OR(D233="",E233=""),"",IF(AND(D233="적합",E233="적합"),"통과","미달"))</f>
        <v/>
      </c>
      <c r="L233" s="10" t="str">
        <f aca="false">IF(F233="","",IF(F233&gt;='검증 기준'!$B$5,"통과","미달"))</f>
        <v/>
      </c>
      <c r="M233" s="10" t="str">
        <f aca="false">IF(G233="","",IF(G233&lt;='검증 기준'!$B$6,"통과","불안정"))</f>
        <v/>
      </c>
      <c r="N233" s="10" t="str">
        <f aca="false">IF(OR(H233="",I233=""),"",IF(OR(AND(H233&gt;='검증 기준'!$B$7,H233&lt;=I233-'검증 기준'!$B$8),C233="고"),"통과","예비"))</f>
        <v/>
      </c>
      <c r="O233" s="10" t="str">
        <f aca="false">IF(J233="예","공급 공백",IF(OR(K233="",L233="",M233="",N233=""),"",IF(AND(K233="통과",L233="통과",N233="통과"),IF(M233="통과","패널","패널(불안정)"),IF(N233="예비","예비","제외"))))</f>
        <v/>
      </c>
    </row>
    <row r="234" customFormat="false" ht="15" hidden="false" customHeight="false" outlineLevel="0" collapsed="false">
      <c r="A234" s="10" t="str">
        <f aca="false">'템플릿 문항'!A233</f>
        <v>Q230</v>
      </c>
      <c r="B234" s="10" t="str">
        <f aca="false">'템플릿 문항'!E233</f>
        <v>{지자체} 견인 보관소 운영 시간이 언제인가요?</v>
      </c>
      <c r="C234" s="10" t="str">
        <f aca="false">'템플릿 문항'!H233</f>
        <v>고</v>
      </c>
      <c r="D234" s="20"/>
      <c r="E234" s="20"/>
      <c r="F234" s="21"/>
      <c r="G234" s="21"/>
      <c r="H234" s="21"/>
      <c r="I234" s="21" t="n">
        <v>5</v>
      </c>
      <c r="J234" s="20"/>
      <c r="K234" s="10" t="str">
        <f aca="false">IF(OR(D234="",E234=""),"",IF(AND(D234="적합",E234="적합"),"통과","미달"))</f>
        <v/>
      </c>
      <c r="L234" s="10" t="str">
        <f aca="false">IF(F234="","",IF(F234&gt;='검증 기준'!$B$5,"통과","미달"))</f>
        <v/>
      </c>
      <c r="M234" s="10" t="str">
        <f aca="false">IF(G234="","",IF(G234&lt;='검증 기준'!$B$6,"통과","불안정"))</f>
        <v/>
      </c>
      <c r="N234" s="10" t="str">
        <f aca="false">IF(OR(H234="",I234=""),"",IF(OR(AND(H234&gt;='검증 기준'!$B$7,H234&lt;=I234-'검증 기준'!$B$8),C234="고"),"통과","예비"))</f>
        <v/>
      </c>
      <c r="O234" s="10" t="str">
        <f aca="false">IF(J234="예","공급 공백",IF(OR(K234="",L234="",M234="",N234=""),"",IF(AND(K234="통과",L234="통과",N234="통과"),IF(M234="통과","패널","패널(불안정)"),IF(N234="예비","예비","제외"))))</f>
        <v/>
      </c>
    </row>
    <row r="235" customFormat="false" ht="15" hidden="false" customHeight="false" outlineLevel="0" collapsed="false">
      <c r="A235" s="10" t="str">
        <f aca="false">'템플릿 문항'!A234</f>
        <v>Q231</v>
      </c>
      <c r="B235" s="10" t="str">
        <f aca="false">'템플릿 문항'!E234</f>
        <v>{지자체} 견인 이의신청은 어떻게 하나요?</v>
      </c>
      <c r="C235" s="10" t="str">
        <f aca="false">'템플릿 문항'!H234</f>
        <v>고</v>
      </c>
      <c r="D235" s="20"/>
      <c r="E235" s="20"/>
      <c r="F235" s="21"/>
      <c r="G235" s="21"/>
      <c r="H235" s="21"/>
      <c r="I235" s="21" t="n">
        <v>5</v>
      </c>
      <c r="J235" s="20"/>
      <c r="K235" s="10" t="str">
        <f aca="false">IF(OR(D235="",E235=""),"",IF(AND(D235="적합",E235="적합"),"통과","미달"))</f>
        <v/>
      </c>
      <c r="L235" s="10" t="str">
        <f aca="false">IF(F235="","",IF(F235&gt;='검증 기준'!$B$5,"통과","미달"))</f>
        <v/>
      </c>
      <c r="M235" s="10" t="str">
        <f aca="false">IF(G235="","",IF(G235&lt;='검증 기준'!$B$6,"통과","불안정"))</f>
        <v/>
      </c>
      <c r="N235" s="10" t="str">
        <f aca="false">IF(OR(H235="",I235=""),"",IF(OR(AND(H235&gt;='검증 기준'!$B$7,H235&lt;=I235-'검증 기준'!$B$8),C235="고"),"통과","예비"))</f>
        <v/>
      </c>
      <c r="O235" s="10" t="str">
        <f aca="false">IF(J235="예","공급 공백",IF(OR(K235="",L235="",M235="",N235=""),"",IF(AND(K235="통과",L235="통과",N235="통과"),IF(M235="통과","패널","패널(불안정)"),IF(N235="예비","예비","제외"))))</f>
        <v/>
      </c>
    </row>
    <row r="236" customFormat="false" ht="15" hidden="false" customHeight="false" outlineLevel="0" collapsed="false">
      <c r="A236" s="10" t="str">
        <f aca="false">'템플릿 문항'!A235</f>
        <v>Q232</v>
      </c>
      <c r="B236" s="10" t="str">
        <f aca="false">'템플릿 문항'!E235</f>
        <v>{지자체} {보건지소} 전화번호가 뭔가요?</v>
      </c>
      <c r="C236" s="10" t="str">
        <f aca="false">'템플릿 문항'!H235</f>
        <v>고</v>
      </c>
      <c r="D236" s="20"/>
      <c r="E236" s="20"/>
      <c r="F236" s="21"/>
      <c r="G236" s="21"/>
      <c r="H236" s="21"/>
      <c r="I236" s="21" t="n">
        <v>5</v>
      </c>
      <c r="J236" s="20"/>
      <c r="K236" s="10" t="str">
        <f aca="false">IF(OR(D236="",E236=""),"",IF(AND(D236="적합",E236="적합"),"통과","미달"))</f>
        <v/>
      </c>
      <c r="L236" s="10" t="str">
        <f aca="false">IF(F236="","",IF(F236&gt;='검증 기준'!$B$5,"통과","미달"))</f>
        <v/>
      </c>
      <c r="M236" s="10" t="str">
        <f aca="false">IF(G236="","",IF(G236&lt;='검증 기준'!$B$6,"통과","불안정"))</f>
        <v/>
      </c>
      <c r="N236" s="10" t="str">
        <f aca="false">IF(OR(H236="",I236=""),"",IF(OR(AND(H236&gt;='검증 기준'!$B$7,H236&lt;=I236-'검증 기준'!$B$8),C236="고"),"통과","예비"))</f>
        <v/>
      </c>
      <c r="O236" s="10" t="str">
        <f aca="false">IF(J236="예","공급 공백",IF(OR(K236="",L236="",M236="",N236=""),"",IF(AND(K236="통과",L236="통과",N236="통과"),IF(M236="통과","패널","패널(불안정)"),IF(N236="예비","예비","제외"))))</f>
        <v/>
      </c>
    </row>
    <row r="237" customFormat="false" ht="15" hidden="false" customHeight="false" outlineLevel="0" collapsed="false">
      <c r="A237" s="10" t="str">
        <f aca="false">'템플릿 문항'!A236</f>
        <v>Q233</v>
      </c>
      <c r="B237" s="10" t="str">
        <f aca="false">'템플릿 문항'!E236</f>
        <v>{지자체} {보건지소} 진료 시간이 언제인가요?</v>
      </c>
      <c r="C237" s="10" t="str">
        <f aca="false">'템플릿 문항'!H236</f>
        <v>고</v>
      </c>
      <c r="D237" s="20"/>
      <c r="E237" s="20"/>
      <c r="F237" s="21"/>
      <c r="G237" s="21"/>
      <c r="H237" s="21"/>
      <c r="I237" s="21" t="n">
        <v>5</v>
      </c>
      <c r="J237" s="20"/>
      <c r="K237" s="10" t="str">
        <f aca="false">IF(OR(D237="",E237=""),"",IF(AND(D237="적합",E237="적합"),"통과","미달"))</f>
        <v/>
      </c>
      <c r="L237" s="10" t="str">
        <f aca="false">IF(F237="","",IF(F237&gt;='검증 기준'!$B$5,"통과","미달"))</f>
        <v/>
      </c>
      <c r="M237" s="10" t="str">
        <f aca="false">IF(G237="","",IF(G237&lt;='검증 기준'!$B$6,"통과","불안정"))</f>
        <v/>
      </c>
      <c r="N237" s="10" t="str">
        <f aca="false">IF(OR(H237="",I237=""),"",IF(OR(AND(H237&gt;='검증 기준'!$B$7,H237&lt;=I237-'검증 기준'!$B$8),C237="고"),"통과","예비"))</f>
        <v/>
      </c>
      <c r="O237" s="10" t="str">
        <f aca="false">IF(J237="예","공급 공백",IF(OR(K237="",L237="",M237="",N237=""),"",IF(AND(K237="통과",L237="통과",N237="통과"),IF(M237="통과","패널","패널(불안정)"),IF(N237="예비","예비","제외"))))</f>
        <v/>
      </c>
    </row>
    <row r="238" customFormat="false" ht="29.85" hidden="false" customHeight="false" outlineLevel="0" collapsed="false">
      <c r="A238" s="10" t="str">
        <f aca="false">'템플릿 문항'!A237</f>
        <v>Q234</v>
      </c>
      <c r="B238" s="10" t="str">
        <f aca="false">'템플릿 문항'!E237</f>
        <v>{지자체} {백신} 무료 대상이 아니면 접종 비용이 얼마인가요?</v>
      </c>
      <c r="C238" s="10" t="str">
        <f aca="false">'템플릿 문항'!H237</f>
        <v>중</v>
      </c>
      <c r="D238" s="20"/>
      <c r="E238" s="20"/>
      <c r="F238" s="21"/>
      <c r="G238" s="21"/>
      <c r="H238" s="21"/>
      <c r="I238" s="21" t="n">
        <v>5</v>
      </c>
      <c r="J238" s="20"/>
      <c r="K238" s="10" t="str">
        <f aca="false">IF(OR(D238="",E238=""),"",IF(AND(D238="적합",E238="적합"),"통과","미달"))</f>
        <v/>
      </c>
      <c r="L238" s="10" t="str">
        <f aca="false">IF(F238="","",IF(F238&gt;='검증 기준'!$B$5,"통과","미달"))</f>
        <v/>
      </c>
      <c r="M238" s="10" t="str">
        <f aca="false">IF(G238="","",IF(G238&lt;='검증 기준'!$B$6,"통과","불안정"))</f>
        <v/>
      </c>
      <c r="N238" s="10" t="str">
        <f aca="false">IF(OR(H238="",I238=""),"",IF(OR(AND(H238&gt;='검증 기준'!$B$7,H238&lt;=I238-'검증 기준'!$B$8),C238="고"),"통과","예비"))</f>
        <v/>
      </c>
      <c r="O238" s="10" t="str">
        <f aca="false">IF(J238="예","공급 공백",IF(OR(K238="",L238="",M238="",N238=""),"",IF(AND(K238="통과",L238="통과",N238="통과"),IF(M238="통과","패널","패널(불안정)"),IF(N238="예비","예비","제외"))))</f>
        <v/>
      </c>
    </row>
    <row r="239" customFormat="false" ht="15" hidden="false" customHeight="false" outlineLevel="0" collapsed="false">
      <c r="A239" s="10" t="str">
        <f aca="false">'템플릿 문항'!A238</f>
        <v>Q235</v>
      </c>
      <c r="B239" s="10" t="str">
        <f aca="false">'템플릿 문항'!E238</f>
        <v>{지자체} 예방접종 증명서는 어디서 발급받나요?</v>
      </c>
      <c r="C239" s="10" t="str">
        <f aca="false">'템플릿 문항'!H238</f>
        <v>중</v>
      </c>
      <c r="D239" s="20"/>
      <c r="E239" s="20"/>
      <c r="F239" s="21"/>
      <c r="G239" s="21"/>
      <c r="H239" s="21"/>
      <c r="I239" s="21" t="n">
        <v>5</v>
      </c>
      <c r="J239" s="20"/>
      <c r="K239" s="10" t="str">
        <f aca="false">IF(OR(D239="",E239=""),"",IF(AND(D239="적합",E239="적합"),"통과","미달"))</f>
        <v/>
      </c>
      <c r="L239" s="10" t="str">
        <f aca="false">IF(F239="","",IF(F239&gt;='검증 기준'!$B$5,"통과","미달"))</f>
        <v/>
      </c>
      <c r="M239" s="10" t="str">
        <f aca="false">IF(G239="","",IF(G239&lt;='검증 기준'!$B$6,"통과","불안정"))</f>
        <v/>
      </c>
      <c r="N239" s="10" t="str">
        <f aca="false">IF(OR(H239="",I239=""),"",IF(OR(AND(H239&gt;='검증 기준'!$B$7,H239&lt;=I239-'검증 기준'!$B$8),C239="고"),"통과","예비"))</f>
        <v/>
      </c>
      <c r="O239" s="10" t="str">
        <f aca="false">IF(J239="예","공급 공백",IF(OR(K239="",L239="",M239="",N239=""),"",IF(AND(K239="통과",L239="통과",N239="통과"),IF(M239="통과","패널","패널(불안정)"),IF(N239="예비","예비","제외"))))</f>
        <v/>
      </c>
    </row>
    <row r="240" customFormat="false" ht="15" hidden="false" customHeight="false" outlineLevel="0" collapsed="false">
      <c r="A240" s="10" t="str">
        <f aca="false">'템플릿 문항'!A239</f>
        <v>Q236</v>
      </c>
      <c r="B240" s="10" t="str">
        <f aca="false">'템플릿 문항'!E239</f>
        <v>{지자체} 치매안심센터 운영 시간이 언제인가요?</v>
      </c>
      <c r="C240" s="10" t="str">
        <f aca="false">'템플릿 문항'!H239</f>
        <v>고</v>
      </c>
      <c r="D240" s="20"/>
      <c r="E240" s="20"/>
      <c r="F240" s="21"/>
      <c r="G240" s="21"/>
      <c r="H240" s="21"/>
      <c r="I240" s="21" t="n">
        <v>5</v>
      </c>
      <c r="J240" s="20"/>
      <c r="K240" s="10" t="str">
        <f aca="false">IF(OR(D240="",E240=""),"",IF(AND(D240="적합",E240="적합"),"통과","미달"))</f>
        <v/>
      </c>
      <c r="L240" s="10" t="str">
        <f aca="false">IF(F240="","",IF(F240&gt;='검증 기준'!$B$5,"통과","미달"))</f>
        <v/>
      </c>
      <c r="M240" s="10" t="str">
        <f aca="false">IF(G240="","",IF(G240&lt;='검증 기준'!$B$6,"통과","불안정"))</f>
        <v/>
      </c>
      <c r="N240" s="10" t="str">
        <f aca="false">IF(OR(H240="",I240=""),"",IF(OR(AND(H240&gt;='검증 기준'!$B$7,H240&lt;=I240-'검증 기준'!$B$8),C240="고"),"통과","예비"))</f>
        <v/>
      </c>
      <c r="O240" s="10" t="str">
        <f aca="false">IF(J240="예","공급 공백",IF(OR(K240="",L240="",M240="",N240=""),"",IF(AND(K240="통과",L240="통과",N240="통과"),IF(M240="통과","패널","패널(불안정)"),IF(N240="예비","예비","제외"))))</f>
        <v/>
      </c>
    </row>
    <row r="241" customFormat="false" ht="15" hidden="false" customHeight="false" outlineLevel="0" collapsed="false">
      <c r="A241" s="10" t="str">
        <f aca="false">'템플릿 문항'!A240</f>
        <v>Q237</v>
      </c>
      <c r="B241" s="10" t="str">
        <f aca="false">'템플릿 문항'!E240</f>
        <v>{지자체} 치매 환자 배회 인식표는 어떻게 신청하나요?</v>
      </c>
      <c r="C241" s="10" t="str">
        <f aca="false">'템플릿 문항'!H240</f>
        <v>고</v>
      </c>
      <c r="D241" s="20"/>
      <c r="E241" s="20"/>
      <c r="F241" s="21"/>
      <c r="G241" s="21"/>
      <c r="H241" s="21"/>
      <c r="I241" s="21" t="n">
        <v>5</v>
      </c>
      <c r="J241" s="20"/>
      <c r="K241" s="10" t="str">
        <f aca="false">IF(OR(D241="",E241=""),"",IF(AND(D241="적합",E241="적합"),"통과","미달"))</f>
        <v/>
      </c>
      <c r="L241" s="10" t="str">
        <f aca="false">IF(F241="","",IF(F241&gt;='검증 기준'!$B$5,"통과","미달"))</f>
        <v/>
      </c>
      <c r="M241" s="10" t="str">
        <f aca="false">IF(G241="","",IF(G241&lt;='검증 기준'!$B$6,"통과","불안정"))</f>
        <v/>
      </c>
      <c r="N241" s="10" t="str">
        <f aca="false">IF(OR(H241="",I241=""),"",IF(OR(AND(H241&gt;='검증 기준'!$B$7,H241&lt;=I241-'검증 기준'!$B$8),C241="고"),"통과","예비"))</f>
        <v/>
      </c>
      <c r="O241" s="10" t="str">
        <f aca="false">IF(J241="예","공급 공백",IF(OR(K241="",L241="",M241="",N241=""),"",IF(AND(K241="통과",L241="통과",N241="통과"),IF(M241="통과","패널","패널(불안정)"),IF(N241="예비","예비","제외"))))</f>
        <v/>
      </c>
    </row>
    <row r="242" customFormat="false" ht="15" hidden="false" customHeight="false" outlineLevel="0" collapsed="false">
      <c r="A242" s="10" t="str">
        <f aca="false">'템플릿 문항'!A241</f>
        <v>Q238</v>
      </c>
      <c r="B242" s="10" t="str">
        <f aca="false">'템플릿 문항'!E241</f>
        <v>{지자체} 응급실 있는 병원이 어디인가요?</v>
      </c>
      <c r="C242" s="10" t="str">
        <f aca="false">'템플릿 문항'!H241</f>
        <v>고</v>
      </c>
      <c r="D242" s="20"/>
      <c r="E242" s="20"/>
      <c r="F242" s="21"/>
      <c r="G242" s="21"/>
      <c r="H242" s="21"/>
      <c r="I242" s="21" t="n">
        <v>5</v>
      </c>
      <c r="J242" s="20"/>
      <c r="K242" s="10" t="str">
        <f aca="false">IF(OR(D242="",E242=""),"",IF(AND(D242="적합",E242="적합"),"통과","미달"))</f>
        <v/>
      </c>
      <c r="L242" s="10" t="str">
        <f aca="false">IF(F242="","",IF(F242&gt;='검증 기준'!$B$5,"통과","미달"))</f>
        <v/>
      </c>
      <c r="M242" s="10" t="str">
        <f aca="false">IF(G242="","",IF(G242&lt;='검증 기준'!$B$6,"통과","불안정"))</f>
        <v/>
      </c>
      <c r="N242" s="10" t="str">
        <f aca="false">IF(OR(H242="",I242=""),"",IF(OR(AND(H242&gt;='검증 기준'!$B$7,H242&lt;=I242-'검증 기준'!$B$8),C242="고"),"통과","예비"))</f>
        <v/>
      </c>
      <c r="O242" s="10" t="str">
        <f aca="false">IF(J242="예","공급 공백",IF(OR(K242="",L242="",M242="",N242=""),"",IF(AND(K242="통과",L242="통과",N242="통과"),IF(M242="통과","패널","패널(불안정)"),IF(N242="예비","예비","제외"))))</f>
        <v/>
      </c>
    </row>
    <row r="243" customFormat="false" ht="15" hidden="false" customHeight="false" outlineLevel="0" collapsed="false">
      <c r="A243" s="10" t="str">
        <f aca="false">'템플릿 문항'!A242</f>
        <v>Q239</v>
      </c>
      <c r="B243" s="10" t="str">
        <f aca="false">'템플릿 문항'!E242</f>
        <v>{지자체} 야간 소아 진료 가능한 곳이 어디인가요?</v>
      </c>
      <c r="C243" s="10" t="str">
        <f aca="false">'템플릿 문항'!H242</f>
        <v>고</v>
      </c>
      <c r="D243" s="20"/>
      <c r="E243" s="20"/>
      <c r="F243" s="21"/>
      <c r="G243" s="21"/>
      <c r="H243" s="21"/>
      <c r="I243" s="21" t="n">
        <v>5</v>
      </c>
      <c r="J243" s="20"/>
      <c r="K243" s="10" t="str">
        <f aca="false">IF(OR(D243="",E243=""),"",IF(AND(D243="적합",E243="적합"),"통과","미달"))</f>
        <v/>
      </c>
      <c r="L243" s="10" t="str">
        <f aca="false">IF(F243="","",IF(F243&gt;='검증 기준'!$B$5,"통과","미달"))</f>
        <v/>
      </c>
      <c r="M243" s="10" t="str">
        <f aca="false">IF(G243="","",IF(G243&lt;='검증 기준'!$B$6,"통과","불안정"))</f>
        <v/>
      </c>
      <c r="N243" s="10" t="str">
        <f aca="false">IF(OR(H243="",I243=""),"",IF(OR(AND(H243&gt;='검증 기준'!$B$7,H243&lt;=I243-'검증 기준'!$B$8),C243="고"),"통과","예비"))</f>
        <v/>
      </c>
      <c r="O243" s="10" t="str">
        <f aca="false">IF(J243="예","공급 공백",IF(OR(K243="",L243="",M243="",N243=""),"",IF(AND(K243="통과",L243="통과",N243="통과"),IF(M243="통과","패널","패널(불안정)"),IF(N243="예비","예비","제외"))))</f>
        <v/>
      </c>
    </row>
    <row r="244" customFormat="false" ht="15" hidden="false" customHeight="false" outlineLevel="0" collapsed="false">
      <c r="A244" s="10" t="str">
        <f aca="false">'템플릿 문항'!A243</f>
        <v>Q240</v>
      </c>
      <c r="B244" s="10" t="str">
        <f aca="false">'템플릿 문항'!E243</f>
        <v>{지자체} {수당} 지급일이 언제인가요?</v>
      </c>
      <c r="C244" s="10" t="str">
        <f aca="false">'템플릿 문항'!H243</f>
        <v>고</v>
      </c>
      <c r="D244" s="20"/>
      <c r="E244" s="20"/>
      <c r="F244" s="21"/>
      <c r="G244" s="21"/>
      <c r="H244" s="21"/>
      <c r="I244" s="21" t="n">
        <v>5</v>
      </c>
      <c r="J244" s="20"/>
      <c r="K244" s="10" t="str">
        <f aca="false">IF(OR(D244="",E244=""),"",IF(AND(D244="적합",E244="적합"),"통과","미달"))</f>
        <v/>
      </c>
      <c r="L244" s="10" t="str">
        <f aca="false">IF(F244="","",IF(F244&gt;='검증 기준'!$B$5,"통과","미달"))</f>
        <v/>
      </c>
      <c r="M244" s="10" t="str">
        <f aca="false">IF(G244="","",IF(G244&lt;='검증 기준'!$B$6,"통과","불안정"))</f>
        <v/>
      </c>
      <c r="N244" s="10" t="str">
        <f aca="false">IF(OR(H244="",I244=""),"",IF(OR(AND(H244&gt;='검증 기준'!$B$7,H244&lt;=I244-'검증 기준'!$B$8),C244="고"),"통과","예비"))</f>
        <v/>
      </c>
      <c r="O244" s="10" t="str">
        <f aca="false">IF(J244="예","공급 공백",IF(OR(K244="",L244="",M244="",N244=""),"",IF(AND(K244="통과",L244="통과",N244="통과"),IF(M244="통과","패널","패널(불안정)"),IF(N244="예비","예비","제외"))))</f>
        <v/>
      </c>
    </row>
    <row r="245" customFormat="false" ht="15" hidden="false" customHeight="false" outlineLevel="0" collapsed="false">
      <c r="A245" s="10" t="str">
        <f aca="false">'템플릿 문항'!A244</f>
        <v>Q241</v>
      </c>
      <c r="B245" s="10" t="str">
        <f aca="false">'템플릿 문항'!E244</f>
        <v>{지자체} {수당} 지급 금액이 얼마인가요?</v>
      </c>
      <c r="C245" s="10" t="str">
        <f aca="false">'템플릿 문항'!H244</f>
        <v>고</v>
      </c>
      <c r="D245" s="20"/>
      <c r="E245" s="20"/>
      <c r="F245" s="21"/>
      <c r="G245" s="21"/>
      <c r="H245" s="21"/>
      <c r="I245" s="21" t="n">
        <v>5</v>
      </c>
      <c r="J245" s="20"/>
      <c r="K245" s="10" t="str">
        <f aca="false">IF(OR(D245="",E245=""),"",IF(AND(D245="적합",E245="적합"),"통과","미달"))</f>
        <v/>
      </c>
      <c r="L245" s="10" t="str">
        <f aca="false">IF(F245="","",IF(F245&gt;='검증 기준'!$B$5,"통과","미달"))</f>
        <v/>
      </c>
      <c r="M245" s="10" t="str">
        <f aca="false">IF(G245="","",IF(G245&lt;='검증 기준'!$B$6,"통과","불안정"))</f>
        <v/>
      </c>
      <c r="N245" s="10" t="str">
        <f aca="false">IF(OR(H245="",I245=""),"",IF(OR(AND(H245&gt;='검증 기준'!$B$7,H245&lt;=I245-'검증 기준'!$B$8),C245="고"),"통과","예비"))</f>
        <v/>
      </c>
      <c r="O245" s="10" t="str">
        <f aca="false">IF(J245="예","공급 공백",IF(OR(K245="",L245="",M245="",N245=""),"",IF(AND(K245="통과",L245="통과",N245="통과"),IF(M245="통과","패널","패널(불안정)"),IF(N245="예비","예비","제외"))))</f>
        <v/>
      </c>
    </row>
    <row r="246" customFormat="false" ht="15" hidden="false" customHeight="false" outlineLevel="0" collapsed="false">
      <c r="A246" s="10" t="str">
        <f aca="false">'템플릿 문항'!A245</f>
        <v>Q242</v>
      </c>
      <c r="B246" s="10" t="str">
        <f aca="false">'템플릿 문항'!E245</f>
        <v>{지자체} 긴급복지 생계지원 금액이 얼마인가요?</v>
      </c>
      <c r="C246" s="10" t="str">
        <f aca="false">'템플릿 문항'!H245</f>
        <v>고</v>
      </c>
      <c r="D246" s="20"/>
      <c r="E246" s="20"/>
      <c r="F246" s="21"/>
      <c r="G246" s="21"/>
      <c r="H246" s="21"/>
      <c r="I246" s="21" t="n">
        <v>5</v>
      </c>
      <c r="J246" s="20"/>
      <c r="K246" s="10" t="str">
        <f aca="false">IF(OR(D246="",E246=""),"",IF(AND(D246="적합",E246="적합"),"통과","미달"))</f>
        <v/>
      </c>
      <c r="L246" s="10" t="str">
        <f aca="false">IF(F246="","",IF(F246&gt;='검증 기준'!$B$5,"통과","미달"))</f>
        <v/>
      </c>
      <c r="M246" s="10" t="str">
        <f aca="false">IF(G246="","",IF(G246&lt;='검증 기준'!$B$6,"통과","불안정"))</f>
        <v/>
      </c>
      <c r="N246" s="10" t="str">
        <f aca="false">IF(OR(H246="",I246=""),"",IF(OR(AND(H246&gt;='검증 기준'!$B$7,H246&lt;=I246-'검증 기준'!$B$8),C246="고"),"통과","예비"))</f>
        <v/>
      </c>
      <c r="O246" s="10" t="str">
        <f aca="false">IF(J246="예","공급 공백",IF(OR(K246="",L246="",M246="",N246=""),"",IF(AND(K246="통과",L246="통과",N246="통과"),IF(M246="통과","패널","패널(불안정)"),IF(N246="예비","예비","제외"))))</f>
        <v/>
      </c>
    </row>
    <row r="247" customFormat="false" ht="15" hidden="false" customHeight="false" outlineLevel="0" collapsed="false">
      <c r="A247" s="10" t="str">
        <f aca="false">'템플릿 문항'!A246</f>
        <v>Q243</v>
      </c>
      <c r="B247" s="10" t="str">
        <f aca="false">'템플릿 문항'!E246</f>
        <v>{지자체} 무료 급식 지원은 어디서 신청하나요?</v>
      </c>
      <c r="C247" s="10" t="str">
        <f aca="false">'템플릿 문항'!H246</f>
        <v>고</v>
      </c>
      <c r="D247" s="20"/>
      <c r="E247" s="20"/>
      <c r="F247" s="21"/>
      <c r="G247" s="21"/>
      <c r="H247" s="21"/>
      <c r="I247" s="21" t="n">
        <v>5</v>
      </c>
      <c r="J247" s="20"/>
      <c r="K247" s="10" t="str">
        <f aca="false">IF(OR(D247="",E247=""),"",IF(AND(D247="적합",E247="적합"),"통과","미달"))</f>
        <v/>
      </c>
      <c r="L247" s="10" t="str">
        <f aca="false">IF(F247="","",IF(F247&gt;='검증 기준'!$B$5,"통과","미달"))</f>
        <v/>
      </c>
      <c r="M247" s="10" t="str">
        <f aca="false">IF(G247="","",IF(G247&lt;='검증 기준'!$B$6,"통과","불안정"))</f>
        <v/>
      </c>
      <c r="N247" s="10" t="str">
        <f aca="false">IF(OR(H247="",I247=""),"",IF(OR(AND(H247&gt;='검증 기준'!$B$7,H247&lt;=I247-'검증 기준'!$B$8),C247="고"),"통과","예비"))</f>
        <v/>
      </c>
      <c r="O247" s="10" t="str">
        <f aca="false">IF(J247="예","공급 공백",IF(OR(K247="",L247="",M247="",N247=""),"",IF(AND(K247="통과",L247="통과",N247="통과"),IF(M247="통과","패널","패널(불안정)"),IF(N247="예비","예비","제외"))))</f>
        <v/>
      </c>
    </row>
    <row r="248" customFormat="false" ht="15" hidden="false" customHeight="false" outlineLevel="0" collapsed="false">
      <c r="A248" s="10" t="str">
        <f aca="false">'템플릿 문항'!A247</f>
        <v>Q244</v>
      </c>
      <c r="B248" s="10" t="str">
        <f aca="false">'템플릿 문항'!E247</f>
        <v>{지자체} 노인 일자리 급여가 얼마인가요?</v>
      </c>
      <c r="C248" s="10" t="str">
        <f aca="false">'템플릿 문항'!H247</f>
        <v>중</v>
      </c>
      <c r="D248" s="20"/>
      <c r="E248" s="20"/>
      <c r="F248" s="21"/>
      <c r="G248" s="21"/>
      <c r="H248" s="21"/>
      <c r="I248" s="21" t="n">
        <v>5</v>
      </c>
      <c r="J248" s="20"/>
      <c r="K248" s="10" t="str">
        <f aca="false">IF(OR(D248="",E248=""),"",IF(AND(D248="적합",E248="적합"),"통과","미달"))</f>
        <v/>
      </c>
      <c r="L248" s="10" t="str">
        <f aca="false">IF(F248="","",IF(F248&gt;='검증 기준'!$B$5,"통과","미달"))</f>
        <v/>
      </c>
      <c r="M248" s="10" t="str">
        <f aca="false">IF(G248="","",IF(G248&lt;='검증 기준'!$B$6,"통과","불안정"))</f>
        <v/>
      </c>
      <c r="N248" s="10" t="str">
        <f aca="false">IF(OR(H248="",I248=""),"",IF(OR(AND(H248&gt;='검증 기준'!$B$7,H248&lt;=I248-'검증 기준'!$B$8),C248="고"),"통과","예비"))</f>
        <v/>
      </c>
      <c r="O248" s="10" t="str">
        <f aca="false">IF(J248="예","공급 공백",IF(OR(K248="",L248="",M248="",N248=""),"",IF(AND(K248="통과",L248="통과",N248="통과"),IF(M248="통과","패널","패널(불안정)"),IF(N248="예비","예비","제외"))))</f>
        <v/>
      </c>
    </row>
    <row r="249" customFormat="false" ht="15" hidden="false" customHeight="false" outlineLevel="0" collapsed="false">
      <c r="A249" s="10" t="str">
        <f aca="false">'템플릿 문항'!A248</f>
        <v>Q245</v>
      </c>
      <c r="B249" s="10" t="str">
        <f aca="false">'템플릿 문항'!E248</f>
        <v>{지자체} 시니어클럽은 어디에 있나요?</v>
      </c>
      <c r="C249" s="10" t="str">
        <f aca="false">'템플릿 문항'!H248</f>
        <v>중</v>
      </c>
      <c r="D249" s="20"/>
      <c r="E249" s="20"/>
      <c r="F249" s="21"/>
      <c r="G249" s="21"/>
      <c r="H249" s="21"/>
      <c r="I249" s="21" t="n">
        <v>5</v>
      </c>
      <c r="J249" s="20"/>
      <c r="K249" s="10" t="str">
        <f aca="false">IF(OR(D249="",E249=""),"",IF(AND(D249="적합",E249="적합"),"통과","미달"))</f>
        <v/>
      </c>
      <c r="L249" s="10" t="str">
        <f aca="false">IF(F249="","",IF(F249&gt;='검증 기준'!$B$5,"통과","미달"))</f>
        <v/>
      </c>
      <c r="M249" s="10" t="str">
        <f aca="false">IF(G249="","",IF(G249&lt;='검증 기준'!$B$6,"통과","불안정"))</f>
        <v/>
      </c>
      <c r="N249" s="10" t="str">
        <f aca="false">IF(OR(H249="",I249=""),"",IF(OR(AND(H249&gt;='검증 기준'!$B$7,H249&lt;=I249-'검증 기준'!$B$8),C249="고"),"통과","예비"))</f>
        <v/>
      </c>
      <c r="O249" s="10" t="str">
        <f aca="false">IF(J249="예","공급 공백",IF(OR(K249="",L249="",M249="",N249=""),"",IF(AND(K249="통과",L249="통과",N249="통과"),IF(M249="통과","패널","패널(불안정)"),IF(N249="예비","예비","제외"))))</f>
        <v/>
      </c>
    </row>
    <row r="250" customFormat="false" ht="15" hidden="false" customHeight="false" outlineLevel="0" collapsed="false">
      <c r="A250" s="10" t="str">
        <f aca="false">'템플릿 문항'!A249</f>
        <v>Q246</v>
      </c>
      <c r="B250" s="10" t="str">
        <f aca="false">'템플릿 문항'!E249</f>
        <v>{지자체} 장애인 복지관은 어디에 있나요?</v>
      </c>
      <c r="C250" s="10" t="str">
        <f aca="false">'템플릿 문항'!H249</f>
        <v>고</v>
      </c>
      <c r="D250" s="20"/>
      <c r="E250" s="20"/>
      <c r="F250" s="21"/>
      <c r="G250" s="21"/>
      <c r="H250" s="21"/>
      <c r="I250" s="21" t="n">
        <v>5</v>
      </c>
      <c r="J250" s="20"/>
      <c r="K250" s="10" t="str">
        <f aca="false">IF(OR(D250="",E250=""),"",IF(AND(D250="적합",E250="적합"),"통과","미달"))</f>
        <v/>
      </c>
      <c r="L250" s="10" t="str">
        <f aca="false">IF(F250="","",IF(F250&gt;='검증 기준'!$B$5,"통과","미달"))</f>
        <v/>
      </c>
      <c r="M250" s="10" t="str">
        <f aca="false">IF(G250="","",IF(G250&lt;='검증 기준'!$B$6,"통과","불안정"))</f>
        <v/>
      </c>
      <c r="N250" s="10" t="str">
        <f aca="false">IF(OR(H250="",I250=""),"",IF(OR(AND(H250&gt;='검증 기준'!$B$7,H250&lt;=I250-'검증 기준'!$B$8),C250="고"),"통과","예비"))</f>
        <v/>
      </c>
      <c r="O250" s="10" t="str">
        <f aca="false">IF(J250="예","공급 공백",IF(OR(K250="",L250="",M250="",N250=""),"",IF(AND(K250="통과",L250="통과",N250="통과"),IF(M250="통과","패널","패널(불안정)"),IF(N250="예비","예비","제외"))))</f>
        <v/>
      </c>
    </row>
    <row r="251" customFormat="false" ht="15" hidden="false" customHeight="false" outlineLevel="0" collapsed="false">
      <c r="A251" s="10" t="str">
        <f aca="false">'템플릿 문항'!A250</f>
        <v>Q247</v>
      </c>
      <c r="B251" s="10" t="str">
        <f aca="false">'템플릿 문항'!E250</f>
        <v>{지자체} 장애인 주차표지 발급은 어디서 하나요?</v>
      </c>
      <c r="C251" s="10" t="str">
        <f aca="false">'템플릿 문항'!H250</f>
        <v>중</v>
      </c>
      <c r="D251" s="20"/>
      <c r="E251" s="20"/>
      <c r="F251" s="21"/>
      <c r="G251" s="21"/>
      <c r="H251" s="21"/>
      <c r="I251" s="21" t="n">
        <v>5</v>
      </c>
      <c r="J251" s="20"/>
      <c r="K251" s="10" t="str">
        <f aca="false">IF(OR(D251="",E251=""),"",IF(AND(D251="적합",E251="적합"),"통과","미달"))</f>
        <v/>
      </c>
      <c r="L251" s="10" t="str">
        <f aca="false">IF(F251="","",IF(F251&gt;='검증 기준'!$B$5,"통과","미달"))</f>
        <v/>
      </c>
      <c r="M251" s="10" t="str">
        <f aca="false">IF(G251="","",IF(G251&lt;='검증 기준'!$B$6,"통과","불안정"))</f>
        <v/>
      </c>
      <c r="N251" s="10" t="str">
        <f aca="false">IF(OR(H251="",I251=""),"",IF(OR(AND(H251&gt;='검증 기준'!$B$7,H251&lt;=I251-'검증 기준'!$B$8),C251="고"),"통과","예비"))</f>
        <v/>
      </c>
      <c r="O251" s="10" t="str">
        <f aca="false">IF(J251="예","공급 공백",IF(OR(K251="",L251="",M251="",N251=""),"",IF(AND(K251="통과",L251="통과",N251="통과"),IF(M251="통과","패널","패널(불안정)"),IF(N251="예비","예비","제외"))))</f>
        <v/>
      </c>
    </row>
    <row r="252" customFormat="false" ht="15" hidden="false" customHeight="false" outlineLevel="0" collapsed="false">
      <c r="A252" s="10" t="str">
        <f aca="false">'템플릿 문항'!A251</f>
        <v>Q248</v>
      </c>
      <c r="B252" s="10" t="str">
        <f aca="false">'템플릿 문항'!E251</f>
        <v>{지자체} {세목} 고지서 재발급은 어떻게 하나요?</v>
      </c>
      <c r="C252" s="10" t="str">
        <f aca="false">'템플릿 문항'!H251</f>
        <v>중</v>
      </c>
      <c r="D252" s="20"/>
      <c r="E252" s="20"/>
      <c r="F252" s="21"/>
      <c r="G252" s="21"/>
      <c r="H252" s="21"/>
      <c r="I252" s="21" t="n">
        <v>5</v>
      </c>
      <c r="J252" s="20"/>
      <c r="K252" s="10" t="str">
        <f aca="false">IF(OR(D252="",E252=""),"",IF(AND(D252="적합",E252="적합"),"통과","미달"))</f>
        <v/>
      </c>
      <c r="L252" s="10" t="str">
        <f aca="false">IF(F252="","",IF(F252&gt;='검증 기준'!$B$5,"통과","미달"))</f>
        <v/>
      </c>
      <c r="M252" s="10" t="str">
        <f aca="false">IF(G252="","",IF(G252&lt;='검증 기준'!$B$6,"통과","불안정"))</f>
        <v/>
      </c>
      <c r="N252" s="10" t="str">
        <f aca="false">IF(OR(H252="",I252=""),"",IF(OR(AND(H252&gt;='검증 기준'!$B$7,H252&lt;=I252-'검증 기준'!$B$8),C252="고"),"통과","예비"))</f>
        <v/>
      </c>
      <c r="O252" s="10" t="str">
        <f aca="false">IF(J252="예","공급 공백",IF(OR(K252="",L252="",M252="",N252=""),"",IF(AND(K252="통과",L252="통과",N252="통과"),IF(M252="통과","패널","패널(불안정)"),IF(N252="예비","예비","제외"))))</f>
        <v/>
      </c>
    </row>
    <row r="253" customFormat="false" ht="15" hidden="false" customHeight="false" outlineLevel="0" collapsed="false">
      <c r="A253" s="10" t="str">
        <f aca="false">'템플릿 문항'!A252</f>
        <v>Q249</v>
      </c>
      <c r="B253" s="10" t="str">
        <f aca="false">'템플릿 문항'!E252</f>
        <v>{지자체} 지방세 납부 확인서는 어디서 발급받나요?</v>
      </c>
      <c r="C253" s="10" t="str">
        <f aca="false">'템플릿 문항'!H252</f>
        <v>중</v>
      </c>
      <c r="D253" s="20"/>
      <c r="E253" s="20"/>
      <c r="F253" s="21"/>
      <c r="G253" s="21"/>
      <c r="H253" s="21"/>
      <c r="I253" s="21" t="n">
        <v>5</v>
      </c>
      <c r="J253" s="20"/>
      <c r="K253" s="10" t="str">
        <f aca="false">IF(OR(D253="",E253=""),"",IF(AND(D253="적합",E253="적합"),"통과","미달"))</f>
        <v/>
      </c>
      <c r="L253" s="10" t="str">
        <f aca="false">IF(F253="","",IF(F253&gt;='검증 기준'!$B$5,"통과","미달"))</f>
        <v/>
      </c>
      <c r="M253" s="10" t="str">
        <f aca="false">IF(G253="","",IF(G253&lt;='검증 기준'!$B$6,"통과","불안정"))</f>
        <v/>
      </c>
      <c r="N253" s="10" t="str">
        <f aca="false">IF(OR(H253="",I253=""),"",IF(OR(AND(H253&gt;='검증 기준'!$B$7,H253&lt;=I253-'검증 기준'!$B$8),C253="고"),"통과","예비"))</f>
        <v/>
      </c>
      <c r="O253" s="10" t="str">
        <f aca="false">IF(J253="예","공급 공백",IF(OR(K253="",L253="",M253="",N253=""),"",IF(AND(K253="통과",L253="통과",N253="통과"),IF(M253="통과","패널","패널(불안정)"),IF(N253="예비","예비","제외"))))</f>
        <v/>
      </c>
    </row>
    <row r="254" customFormat="false" ht="15" hidden="false" customHeight="false" outlineLevel="0" collapsed="false">
      <c r="A254" s="10" t="str">
        <f aca="false">'템플릿 문항'!A253</f>
        <v>Q250</v>
      </c>
      <c r="B254" s="10" t="str">
        <f aca="false">'템플릿 문항'!E253</f>
        <v>{지자체} {용도} 하수도 요금은 얼마인가요?</v>
      </c>
      <c r="C254" s="10" t="str">
        <f aca="false">'템플릿 문항'!H253</f>
        <v>중</v>
      </c>
      <c r="D254" s="20"/>
      <c r="E254" s="20"/>
      <c r="F254" s="21"/>
      <c r="G254" s="21"/>
      <c r="H254" s="21"/>
      <c r="I254" s="21" t="n">
        <v>5</v>
      </c>
      <c r="J254" s="20"/>
      <c r="K254" s="10" t="str">
        <f aca="false">IF(OR(D254="",E254=""),"",IF(AND(D254="적합",E254="적합"),"통과","미달"))</f>
        <v/>
      </c>
      <c r="L254" s="10" t="str">
        <f aca="false">IF(F254="","",IF(F254&gt;='검증 기준'!$B$5,"통과","미달"))</f>
        <v/>
      </c>
      <c r="M254" s="10" t="str">
        <f aca="false">IF(G254="","",IF(G254&lt;='검증 기준'!$B$6,"통과","불안정"))</f>
        <v/>
      </c>
      <c r="N254" s="10" t="str">
        <f aca="false">IF(OR(H254="",I254=""),"",IF(OR(AND(H254&gt;='검증 기준'!$B$7,H254&lt;=I254-'검증 기준'!$B$8),C254="고"),"통과","예비"))</f>
        <v/>
      </c>
      <c r="O254" s="10" t="str">
        <f aca="false">IF(J254="예","공급 공백",IF(OR(K254="",L254="",M254="",N254=""),"",IF(AND(K254="통과",L254="통과",N254="통과"),IF(M254="통과","패널","패널(불안정)"),IF(N254="예비","예비","제외"))))</f>
        <v/>
      </c>
    </row>
    <row r="255" customFormat="false" ht="15" hidden="false" customHeight="false" outlineLevel="0" collapsed="false">
      <c r="A255" s="10" t="str">
        <f aca="false">'템플릿 문항'!A254</f>
        <v>Q251</v>
      </c>
      <c r="B255" s="10" t="str">
        <f aca="false">'템플릿 문항'!E254</f>
        <v>{지자체} 수도 계량기 동파 시 비용은 누가 부담하나요?</v>
      </c>
      <c r="C255" s="10" t="str">
        <f aca="false">'템플릿 문항'!H254</f>
        <v>중</v>
      </c>
      <c r="D255" s="20"/>
      <c r="E255" s="20"/>
      <c r="F255" s="21"/>
      <c r="G255" s="21"/>
      <c r="H255" s="21"/>
      <c r="I255" s="21" t="n">
        <v>5</v>
      </c>
      <c r="J255" s="20"/>
      <c r="K255" s="10" t="str">
        <f aca="false">IF(OR(D255="",E255=""),"",IF(AND(D255="적합",E255="적합"),"통과","미달"))</f>
        <v/>
      </c>
      <c r="L255" s="10" t="str">
        <f aca="false">IF(F255="","",IF(F255&gt;='검증 기준'!$B$5,"통과","미달"))</f>
        <v/>
      </c>
      <c r="M255" s="10" t="str">
        <f aca="false">IF(G255="","",IF(G255&lt;='검증 기준'!$B$6,"통과","불안정"))</f>
        <v/>
      </c>
      <c r="N255" s="10" t="str">
        <f aca="false">IF(OR(H255="",I255=""),"",IF(OR(AND(H255&gt;='검증 기준'!$B$7,H255&lt;=I255-'검증 기준'!$B$8),C255="고"),"통과","예비"))</f>
        <v/>
      </c>
      <c r="O255" s="10" t="str">
        <f aca="false">IF(J255="예","공급 공백",IF(OR(K255="",L255="",M255="",N255=""),"",IF(AND(K255="통과",L255="통과",N255="통과"),IF(M255="통과","패널","패널(불안정)"),IF(N255="예비","예비","제외"))))</f>
        <v/>
      </c>
    </row>
    <row r="256" customFormat="false" ht="15" hidden="false" customHeight="false" outlineLevel="0" collapsed="false">
      <c r="A256" s="10" t="str">
        <f aca="false">'템플릿 문항'!A255</f>
        <v>Q252</v>
      </c>
      <c r="B256" s="10" t="str">
        <f aca="false">'템플릿 문항'!E255</f>
        <v>{지자체} 과태료 납부 전화번호(ARS)가 뭔가요?</v>
      </c>
      <c r="C256" s="10" t="str">
        <f aca="false">'템플릿 문항'!H255</f>
        <v>중</v>
      </c>
      <c r="D256" s="20"/>
      <c r="E256" s="20"/>
      <c r="F256" s="21"/>
      <c r="G256" s="21"/>
      <c r="H256" s="21"/>
      <c r="I256" s="21" t="n">
        <v>5</v>
      </c>
      <c r="J256" s="20"/>
      <c r="K256" s="10" t="str">
        <f aca="false">IF(OR(D256="",E256=""),"",IF(AND(D256="적합",E256="적합"),"통과","미달"))</f>
        <v/>
      </c>
      <c r="L256" s="10" t="str">
        <f aca="false">IF(F256="","",IF(F256&gt;='검증 기준'!$B$5,"통과","미달"))</f>
        <v/>
      </c>
      <c r="M256" s="10" t="str">
        <f aca="false">IF(G256="","",IF(G256&lt;='검증 기준'!$B$6,"통과","불안정"))</f>
        <v/>
      </c>
      <c r="N256" s="10" t="str">
        <f aca="false">IF(OR(H256="",I256=""),"",IF(OR(AND(H256&gt;='검증 기준'!$B$7,H256&lt;=I256-'검증 기준'!$B$8),C256="고"),"통과","예비"))</f>
        <v/>
      </c>
      <c r="O256" s="10" t="str">
        <f aca="false">IF(J256="예","공급 공백",IF(OR(K256="",L256="",M256="",N256=""),"",IF(AND(K256="통과",L256="통과",N256="통과"),IF(M256="통과","패널","패널(불안정)"),IF(N256="예비","예비","제외"))))</f>
        <v/>
      </c>
    </row>
    <row r="257" customFormat="false" ht="15" hidden="false" customHeight="false" outlineLevel="0" collapsed="false">
      <c r="A257" s="10" t="str">
        <f aca="false">'템플릿 문항'!A256</f>
        <v>Q253</v>
      </c>
      <c r="B257" s="10" t="str">
        <f aca="false">'템플릿 문항'!E256</f>
        <v>{지자체} 과태료 체납 시 가산금이 얼마인가요?</v>
      </c>
      <c r="C257" s="10" t="str">
        <f aca="false">'템플릿 문항'!H256</f>
        <v>고</v>
      </c>
      <c r="D257" s="20"/>
      <c r="E257" s="20"/>
      <c r="F257" s="21"/>
      <c r="G257" s="21"/>
      <c r="H257" s="21"/>
      <c r="I257" s="21" t="n">
        <v>5</v>
      </c>
      <c r="J257" s="20"/>
      <c r="K257" s="10" t="str">
        <f aca="false">IF(OR(D257="",E257=""),"",IF(AND(D257="적합",E257="적합"),"통과","미달"))</f>
        <v/>
      </c>
      <c r="L257" s="10" t="str">
        <f aca="false">IF(F257="","",IF(F257&gt;='검증 기준'!$B$5,"통과","미달"))</f>
        <v/>
      </c>
      <c r="M257" s="10" t="str">
        <f aca="false">IF(G257="","",IF(G257&lt;='검증 기준'!$B$6,"통과","불안정"))</f>
        <v/>
      </c>
      <c r="N257" s="10" t="str">
        <f aca="false">IF(OR(H257="",I257=""),"",IF(OR(AND(H257&gt;='검증 기준'!$B$7,H257&lt;=I257-'검증 기준'!$B$8),C257="고"),"통과","예비"))</f>
        <v/>
      </c>
      <c r="O257" s="10" t="str">
        <f aca="false">IF(J257="예","공급 공백",IF(OR(K257="",L257="",M257="",N257=""),"",IF(AND(K257="통과",L257="통과",N257="통과"),IF(M257="통과","패널","패널(불안정)"),IF(N257="예비","예비","제외"))))</f>
        <v/>
      </c>
    </row>
    <row r="258" customFormat="false" ht="15" hidden="false" customHeight="false" outlineLevel="0" collapsed="false">
      <c r="A258" s="10" t="str">
        <f aca="false">'템플릿 문항'!A257</f>
        <v>Q254</v>
      </c>
      <c r="B258" s="10" t="str">
        <f aca="false">'템플릿 문항'!E257</f>
        <v>{지자체} 지역화폐 환급 행사 기간이 언제인가요?</v>
      </c>
      <c r="C258" s="10" t="str">
        <f aca="false">'템플릿 문항'!H257</f>
        <v>중</v>
      </c>
      <c r="D258" s="20"/>
      <c r="E258" s="20"/>
      <c r="F258" s="21"/>
      <c r="G258" s="21"/>
      <c r="H258" s="21"/>
      <c r="I258" s="21" t="n">
        <v>5</v>
      </c>
      <c r="J258" s="20"/>
      <c r="K258" s="10" t="str">
        <f aca="false">IF(OR(D258="",E258=""),"",IF(AND(D258="적합",E258="적합"),"통과","미달"))</f>
        <v/>
      </c>
      <c r="L258" s="10" t="str">
        <f aca="false">IF(F258="","",IF(F258&gt;='검증 기준'!$B$5,"통과","미달"))</f>
        <v/>
      </c>
      <c r="M258" s="10" t="str">
        <f aca="false">IF(G258="","",IF(G258&lt;='검증 기준'!$B$6,"통과","불안정"))</f>
        <v/>
      </c>
      <c r="N258" s="10" t="str">
        <f aca="false">IF(OR(H258="",I258=""),"",IF(OR(AND(H258&gt;='검증 기준'!$B$7,H258&lt;=I258-'검증 기준'!$B$8),C258="고"),"통과","예비"))</f>
        <v/>
      </c>
      <c r="O258" s="10" t="str">
        <f aca="false">IF(J258="예","공급 공백",IF(OR(K258="",L258="",M258="",N258=""),"",IF(AND(K258="통과",L258="통과",N258="통과"),IF(M258="통과","패널","패널(불안정)"),IF(N258="예비","예비","제외"))))</f>
        <v/>
      </c>
    </row>
    <row r="259" customFormat="false" ht="15" hidden="false" customHeight="false" outlineLevel="0" collapsed="false">
      <c r="A259" s="10" t="str">
        <f aca="false">'템플릿 문항'!A258</f>
        <v>Q255</v>
      </c>
      <c r="B259" s="10" t="str">
        <f aca="false">'템플릿 문항'!E258</f>
        <v>{지자체} 지역화폐 카드 분실 시 어떻게 하나요?</v>
      </c>
      <c r="C259" s="10" t="str">
        <f aca="false">'템플릿 문항'!H258</f>
        <v>중</v>
      </c>
      <c r="D259" s="20"/>
      <c r="E259" s="20"/>
      <c r="F259" s="21"/>
      <c r="G259" s="21"/>
      <c r="H259" s="21"/>
      <c r="I259" s="21" t="n">
        <v>5</v>
      </c>
      <c r="J259" s="20"/>
      <c r="K259" s="10" t="str">
        <f aca="false">IF(OR(D259="",E259=""),"",IF(AND(D259="적합",E259="적합"),"통과","미달"))</f>
        <v/>
      </c>
      <c r="L259" s="10" t="str">
        <f aca="false">IF(F259="","",IF(F259&gt;='검증 기준'!$B$5,"통과","미달"))</f>
        <v/>
      </c>
      <c r="M259" s="10" t="str">
        <f aca="false">IF(G259="","",IF(G259&lt;='검증 기준'!$B$6,"통과","불안정"))</f>
        <v/>
      </c>
      <c r="N259" s="10" t="str">
        <f aca="false">IF(OR(H259="",I259=""),"",IF(OR(AND(H259&gt;='검증 기준'!$B$7,H259&lt;=I259-'검증 기준'!$B$8),C259="고"),"통과","예비"))</f>
        <v/>
      </c>
      <c r="O259" s="10" t="str">
        <f aca="false">IF(J259="예","공급 공백",IF(OR(K259="",L259="",M259="",N259=""),"",IF(AND(K259="통과",L259="통과",N259="통과"),IF(M259="통과","패널","패널(불안정)"),IF(N259="예비","예비","제외"))))</f>
        <v/>
      </c>
    </row>
    <row r="260" customFormat="false" ht="15" hidden="false" customHeight="false" outlineLevel="0" collapsed="false">
      <c r="A260" s="10" t="str">
        <f aca="false">'템플릿 문항'!A259</f>
        <v>Q256</v>
      </c>
      <c r="B260" s="10" t="str">
        <f aca="false">'템플릿 문항'!E259</f>
        <v>{지자체} {동} 무더위쉼터가 어디인가요?</v>
      </c>
      <c r="C260" s="10" t="str">
        <f aca="false">'템플릿 문항'!H259</f>
        <v>고</v>
      </c>
      <c r="D260" s="20"/>
      <c r="E260" s="20"/>
      <c r="F260" s="21"/>
      <c r="G260" s="21"/>
      <c r="H260" s="21"/>
      <c r="I260" s="21" t="n">
        <v>5</v>
      </c>
      <c r="J260" s="20"/>
      <c r="K260" s="10" t="str">
        <f aca="false">IF(OR(D260="",E260=""),"",IF(AND(D260="적합",E260="적합"),"통과","미달"))</f>
        <v/>
      </c>
      <c r="L260" s="10" t="str">
        <f aca="false">IF(F260="","",IF(F260&gt;='검증 기준'!$B$5,"통과","미달"))</f>
        <v/>
      </c>
      <c r="M260" s="10" t="str">
        <f aca="false">IF(G260="","",IF(G260&lt;='검증 기준'!$B$6,"통과","불안정"))</f>
        <v/>
      </c>
      <c r="N260" s="10" t="str">
        <f aca="false">IF(OR(H260="",I260=""),"",IF(OR(AND(H260&gt;='검증 기준'!$B$7,H260&lt;=I260-'검증 기준'!$B$8),C260="고"),"통과","예비"))</f>
        <v/>
      </c>
      <c r="O260" s="10" t="str">
        <f aca="false">IF(J260="예","공급 공백",IF(OR(K260="",L260="",M260="",N260=""),"",IF(AND(K260="통과",L260="통과",N260="통과"),IF(M260="통과","패널","패널(불안정)"),IF(N260="예비","예비","제외"))))</f>
        <v/>
      </c>
    </row>
    <row r="261" customFormat="false" ht="15" hidden="false" customHeight="false" outlineLevel="0" collapsed="false">
      <c r="A261" s="10" t="str">
        <f aca="false">'템플릿 문항'!A260</f>
        <v>Q257</v>
      </c>
      <c r="B261" s="10" t="str">
        <f aca="false">'템플릿 문항'!E260</f>
        <v>{지자체} 재난문자 수신 설정은 어떻게 하나요?</v>
      </c>
      <c r="C261" s="10" t="str">
        <f aca="false">'템플릿 문항'!H260</f>
        <v>고</v>
      </c>
      <c r="D261" s="20"/>
      <c r="E261" s="20"/>
      <c r="F261" s="21"/>
      <c r="G261" s="21"/>
      <c r="H261" s="21"/>
      <c r="I261" s="21" t="n">
        <v>5</v>
      </c>
      <c r="J261" s="20"/>
      <c r="K261" s="10" t="str">
        <f aca="false">IF(OR(D261="",E261=""),"",IF(AND(D261="적합",E261="적합"),"통과","미달"))</f>
        <v/>
      </c>
      <c r="L261" s="10" t="str">
        <f aca="false">IF(F261="","",IF(F261&gt;='검증 기준'!$B$5,"통과","미달"))</f>
        <v/>
      </c>
      <c r="M261" s="10" t="str">
        <f aca="false">IF(G261="","",IF(G261&lt;='검증 기준'!$B$6,"통과","불안정"))</f>
        <v/>
      </c>
      <c r="N261" s="10" t="str">
        <f aca="false">IF(OR(H261="",I261=""),"",IF(OR(AND(H261&gt;='검증 기준'!$B$7,H261&lt;=I261-'검증 기준'!$B$8),C261="고"),"통과","예비"))</f>
        <v/>
      </c>
      <c r="O261" s="10" t="str">
        <f aca="false">IF(J261="예","공급 공백",IF(OR(K261="",L261="",M261="",N261=""),"",IF(AND(K261="통과",L261="통과",N261="통과"),IF(M261="통과","패널","패널(불안정)"),IF(N261="예비","예비","제외"))))</f>
        <v/>
      </c>
    </row>
    <row r="262" customFormat="false" ht="15" hidden="false" customHeight="false" outlineLevel="0" collapsed="false">
      <c r="A262" s="10" t="str">
        <f aca="false">'템플릿 문항'!A261</f>
        <v>Q258</v>
      </c>
      <c r="B262" s="10" t="str">
        <f aca="false">'템플릿 문항'!E261</f>
        <v>{지자체} 민방위 교육 담당 부서 전화번호가 뭔가요?</v>
      </c>
      <c r="C262" s="10" t="str">
        <f aca="false">'템플릿 문항'!H261</f>
        <v>중</v>
      </c>
      <c r="D262" s="20"/>
      <c r="E262" s="20"/>
      <c r="F262" s="21"/>
      <c r="G262" s="21"/>
      <c r="H262" s="21"/>
      <c r="I262" s="21" t="n">
        <v>5</v>
      </c>
      <c r="J262" s="20"/>
      <c r="K262" s="10" t="str">
        <f aca="false">IF(OR(D262="",E262=""),"",IF(AND(D262="적합",E262="적합"),"통과","미달"))</f>
        <v/>
      </c>
      <c r="L262" s="10" t="str">
        <f aca="false">IF(F262="","",IF(F262&gt;='검증 기준'!$B$5,"통과","미달"))</f>
        <v/>
      </c>
      <c r="M262" s="10" t="str">
        <f aca="false">IF(G262="","",IF(G262&lt;='검증 기준'!$B$6,"통과","불안정"))</f>
        <v/>
      </c>
      <c r="N262" s="10" t="str">
        <f aca="false">IF(OR(H262="",I262=""),"",IF(OR(AND(H262&gt;='검증 기준'!$B$7,H262&lt;=I262-'검증 기준'!$B$8),C262="고"),"통과","예비"))</f>
        <v/>
      </c>
      <c r="O262" s="10" t="str">
        <f aca="false">IF(J262="예","공급 공백",IF(OR(K262="",L262="",M262="",N262=""),"",IF(AND(K262="통과",L262="통과",N262="통과"),IF(M262="통과","패널","패널(불안정)"),IF(N262="예비","예비","제외"))))</f>
        <v/>
      </c>
    </row>
    <row r="263" customFormat="false" ht="15" hidden="false" customHeight="false" outlineLevel="0" collapsed="false">
      <c r="A263" s="10" t="str">
        <f aca="false">'템플릿 문항'!A262</f>
        <v>Q259</v>
      </c>
      <c r="B263" s="10" t="str">
        <f aca="false">'템플릿 문항'!E262</f>
        <v>{지자체} 민방위 대원 편입 연령이 어떻게 되나요?</v>
      </c>
      <c r="C263" s="10" t="str">
        <f aca="false">'템플릿 문항'!H262</f>
        <v>저</v>
      </c>
      <c r="D263" s="20"/>
      <c r="E263" s="20"/>
      <c r="F263" s="21"/>
      <c r="G263" s="21"/>
      <c r="H263" s="21"/>
      <c r="I263" s="21" t="n">
        <v>5</v>
      </c>
      <c r="J263" s="20"/>
      <c r="K263" s="10" t="str">
        <f aca="false">IF(OR(D263="",E263=""),"",IF(AND(D263="적합",E263="적합"),"통과","미달"))</f>
        <v/>
      </c>
      <c r="L263" s="10" t="str">
        <f aca="false">IF(F263="","",IF(F263&gt;='검증 기준'!$B$5,"통과","미달"))</f>
        <v/>
      </c>
      <c r="M263" s="10" t="str">
        <f aca="false">IF(G263="","",IF(G263&lt;='검증 기준'!$B$6,"통과","불안정"))</f>
        <v/>
      </c>
      <c r="N263" s="10" t="str">
        <f aca="false">IF(OR(H263="",I263=""),"",IF(OR(AND(H263&gt;='검증 기준'!$B$7,H263&lt;=I263-'검증 기준'!$B$8),C263="고"),"통과","예비"))</f>
        <v/>
      </c>
      <c r="O263" s="10" t="str">
        <f aca="false">IF(J263="예","공급 공백",IF(OR(K263="",L263="",M263="",N263=""),"",IF(AND(K263="통과",L263="통과",N263="통과"),IF(M263="통과","패널","패널(불안정)"),IF(N263="예비","예비","제외"))))</f>
        <v/>
      </c>
    </row>
    <row r="264" customFormat="false" ht="15" hidden="false" customHeight="false" outlineLevel="0" collapsed="false">
      <c r="A264" s="10" t="str">
        <f aca="false">'템플릿 문항'!A263</f>
        <v>Q260</v>
      </c>
      <c r="B264" s="10" t="str">
        <f aca="false">'템플릿 문항'!E263</f>
        <v>{지자체} 시민안전보험 청구 기한이 언제까지인가요?</v>
      </c>
      <c r="C264" s="10" t="str">
        <f aca="false">'템플릿 문항'!H263</f>
        <v>중</v>
      </c>
      <c r="D264" s="20"/>
      <c r="E264" s="20"/>
      <c r="F264" s="21"/>
      <c r="G264" s="21"/>
      <c r="H264" s="21"/>
      <c r="I264" s="21" t="n">
        <v>5</v>
      </c>
      <c r="J264" s="20"/>
      <c r="K264" s="10" t="str">
        <f aca="false">IF(OR(D264="",E264=""),"",IF(AND(D264="적합",E264="적합"),"통과","미달"))</f>
        <v/>
      </c>
      <c r="L264" s="10" t="str">
        <f aca="false">IF(F264="","",IF(F264&gt;='검증 기준'!$B$5,"통과","미달"))</f>
        <v/>
      </c>
      <c r="M264" s="10" t="str">
        <f aca="false">IF(G264="","",IF(G264&lt;='검증 기준'!$B$6,"통과","불안정"))</f>
        <v/>
      </c>
      <c r="N264" s="10" t="str">
        <f aca="false">IF(OR(H264="",I264=""),"",IF(OR(AND(H264&gt;='검증 기준'!$B$7,H264&lt;=I264-'검증 기준'!$B$8),C264="고"),"통과","예비"))</f>
        <v/>
      </c>
      <c r="O264" s="10" t="str">
        <f aca="false">IF(J264="예","공급 공백",IF(OR(K264="",L264="",M264="",N264=""),"",IF(AND(K264="통과",L264="통과",N264="통과"),IF(M264="통과","패널","패널(불안정)"),IF(N264="예비","예비","제외"))))</f>
        <v/>
      </c>
    </row>
    <row r="265" customFormat="false" ht="15" hidden="false" customHeight="false" outlineLevel="0" collapsed="false">
      <c r="A265" s="10" t="str">
        <f aca="false">'템플릿 문항'!A264</f>
        <v>Q261</v>
      </c>
      <c r="B265" s="10" t="str">
        <f aca="false">'템플릿 문항'!E264</f>
        <v>{지자체} 시민안전보험 보험사와 연락처가 뭔가요?</v>
      </c>
      <c r="C265" s="10" t="str">
        <f aca="false">'템플릿 문항'!H264</f>
        <v>중</v>
      </c>
      <c r="D265" s="20"/>
      <c r="E265" s="20"/>
      <c r="F265" s="21"/>
      <c r="G265" s="21"/>
      <c r="H265" s="21"/>
      <c r="I265" s="21" t="n">
        <v>5</v>
      </c>
      <c r="J265" s="20"/>
      <c r="K265" s="10" t="str">
        <f aca="false">IF(OR(D265="",E265=""),"",IF(AND(D265="적합",E265="적합"),"통과","미달"))</f>
        <v/>
      </c>
      <c r="L265" s="10" t="str">
        <f aca="false">IF(F265="","",IF(F265&gt;='검증 기준'!$B$5,"통과","미달"))</f>
        <v/>
      </c>
      <c r="M265" s="10" t="str">
        <f aca="false">IF(G265="","",IF(G265&lt;='검증 기준'!$B$6,"통과","불안정"))</f>
        <v/>
      </c>
      <c r="N265" s="10" t="str">
        <f aca="false">IF(OR(H265="",I265=""),"",IF(OR(AND(H265&gt;='검증 기준'!$B$7,H265&lt;=I265-'검증 기준'!$B$8),C265="고"),"통과","예비"))</f>
        <v/>
      </c>
      <c r="O265" s="10" t="str">
        <f aca="false">IF(J265="예","공급 공백",IF(OR(K265="",L265="",M265="",N265=""),"",IF(AND(K265="통과",L265="통과",N265="통과"),IF(M265="통과","패널","패널(불안정)"),IF(N265="예비","예비","제외"))))</f>
        <v/>
      </c>
    </row>
    <row r="266" customFormat="false" ht="15" hidden="false" customHeight="false" outlineLevel="0" collapsed="false">
      <c r="A266" s="10" t="str">
        <f aca="false">'템플릿 문항'!A265</f>
        <v>Q262</v>
      </c>
      <c r="B266" s="10" t="str">
        <f aca="false">'템플릿 문항'!E265</f>
        <v>{지자체} {신고종류} 처리 기한이 며칠인가요?</v>
      </c>
      <c r="C266" s="10" t="str">
        <f aca="false">'템플릿 문항'!H265</f>
        <v>중</v>
      </c>
      <c r="D266" s="20"/>
      <c r="E266" s="20"/>
      <c r="F266" s="21"/>
      <c r="G266" s="21"/>
      <c r="H266" s="21"/>
      <c r="I266" s="21" t="n">
        <v>5</v>
      </c>
      <c r="J266" s="20"/>
      <c r="K266" s="10" t="str">
        <f aca="false">IF(OR(D266="",E266=""),"",IF(AND(D266="적합",E266="적합"),"통과","미달"))</f>
        <v/>
      </c>
      <c r="L266" s="10" t="str">
        <f aca="false">IF(F266="","",IF(F266&gt;='검증 기준'!$B$5,"통과","미달"))</f>
        <v/>
      </c>
      <c r="M266" s="10" t="str">
        <f aca="false">IF(G266="","",IF(G266&lt;='검증 기준'!$B$6,"통과","불안정"))</f>
        <v/>
      </c>
      <c r="N266" s="10" t="str">
        <f aca="false">IF(OR(H266="",I266=""),"",IF(OR(AND(H266&gt;='검증 기준'!$B$7,H266&lt;=I266-'검증 기준'!$B$8),C266="고"),"통과","예비"))</f>
        <v/>
      </c>
      <c r="O266" s="10" t="str">
        <f aca="false">IF(J266="예","공급 공백",IF(OR(K266="",L266="",M266="",N266=""),"",IF(AND(K266="통과",L266="통과",N266="통과"),IF(M266="통과","패널","패널(불안정)"),IF(N266="예비","예비","제외"))))</f>
        <v/>
      </c>
    </row>
    <row r="267" customFormat="false" ht="15" hidden="false" customHeight="false" outlineLevel="0" collapsed="false">
      <c r="A267" s="10" t="str">
        <f aca="false">'템플릿 문항'!A266</f>
        <v>Q263</v>
      </c>
      <c r="B267" s="10" t="str">
        <f aca="false">'템플릿 문항'!E266</f>
        <v>{지자체} 야간 민원 당직 전화번호가 뭔가요?</v>
      </c>
      <c r="C267" s="10" t="str">
        <f aca="false">'템플릿 문항'!H266</f>
        <v>고</v>
      </c>
      <c r="D267" s="20"/>
      <c r="E267" s="20"/>
      <c r="F267" s="21"/>
      <c r="G267" s="21"/>
      <c r="H267" s="21"/>
      <c r="I267" s="21" t="n">
        <v>5</v>
      </c>
      <c r="J267" s="20"/>
      <c r="K267" s="10" t="str">
        <f aca="false">IF(OR(D267="",E267=""),"",IF(AND(D267="적합",E267="적합"),"통과","미달"))</f>
        <v/>
      </c>
      <c r="L267" s="10" t="str">
        <f aca="false">IF(F267="","",IF(F267&gt;='검증 기준'!$B$5,"통과","미달"))</f>
        <v/>
      </c>
      <c r="M267" s="10" t="str">
        <f aca="false">IF(G267="","",IF(G267&lt;='검증 기준'!$B$6,"통과","불안정"))</f>
        <v/>
      </c>
      <c r="N267" s="10" t="str">
        <f aca="false">IF(OR(H267="",I267=""),"",IF(OR(AND(H267&gt;='검증 기준'!$B$7,H267&lt;=I267-'검증 기준'!$B$8),C267="고"),"통과","예비"))</f>
        <v/>
      </c>
      <c r="O267" s="10" t="str">
        <f aca="false">IF(J267="예","공급 공백",IF(OR(K267="",L267="",M267="",N267=""),"",IF(AND(K267="통과",L267="통과",N267="통과"),IF(M267="통과","패널","패널(불안정)"),IF(N267="예비","예비","제외"))))</f>
        <v/>
      </c>
    </row>
    <row r="268" customFormat="false" ht="15" hidden="false" customHeight="false" outlineLevel="0" collapsed="false">
      <c r="A268" s="10" t="str">
        <f aca="false">'템플릿 문항'!A267</f>
        <v>Q264</v>
      </c>
      <c r="B268" s="10" t="str">
        <f aca="false">'템플릿 문항'!E267</f>
        <v>{지자체} {동} 국공립 어린이집이 어디인가요?</v>
      </c>
      <c r="C268" s="10" t="str">
        <f aca="false">'템플릿 문항'!H267</f>
        <v>중</v>
      </c>
      <c r="D268" s="20"/>
      <c r="E268" s="20"/>
      <c r="F268" s="21"/>
      <c r="G268" s="21"/>
      <c r="H268" s="21"/>
      <c r="I268" s="21" t="n">
        <v>5</v>
      </c>
      <c r="J268" s="20"/>
      <c r="K268" s="10" t="str">
        <f aca="false">IF(OR(D268="",E268=""),"",IF(AND(D268="적합",E268="적합"),"통과","미달"))</f>
        <v/>
      </c>
      <c r="L268" s="10" t="str">
        <f aca="false">IF(F268="","",IF(F268&gt;='검증 기준'!$B$5,"통과","미달"))</f>
        <v/>
      </c>
      <c r="M268" s="10" t="str">
        <f aca="false">IF(G268="","",IF(G268&lt;='검증 기준'!$B$6,"통과","불안정"))</f>
        <v/>
      </c>
      <c r="N268" s="10" t="str">
        <f aca="false">IF(OR(H268="",I268=""),"",IF(OR(AND(H268&gt;='검증 기준'!$B$7,H268&lt;=I268-'검증 기준'!$B$8),C268="고"),"통과","예비"))</f>
        <v/>
      </c>
      <c r="O268" s="10" t="str">
        <f aca="false">IF(J268="예","공급 공백",IF(OR(K268="",L268="",M268="",N268=""),"",IF(AND(K268="통과",L268="통과",N268="통과"),IF(M268="통과","패널","패널(불안정)"),IF(N268="예비","예비","제외"))))</f>
        <v/>
      </c>
    </row>
    <row r="269" customFormat="false" ht="15" hidden="false" customHeight="false" outlineLevel="0" collapsed="false">
      <c r="A269" s="10" t="str">
        <f aca="false">'템플릿 문항'!A268</f>
        <v>Q265</v>
      </c>
      <c r="B269" s="10" t="str">
        <f aca="false">'템플릿 문항'!E268</f>
        <v>{지자체} 어린이집 보육료 지원 신청은 어디서 하나요?</v>
      </c>
      <c r="C269" s="10" t="str">
        <f aca="false">'템플릿 문항'!H268</f>
        <v>중</v>
      </c>
      <c r="D269" s="20"/>
      <c r="E269" s="20"/>
      <c r="F269" s="21"/>
      <c r="G269" s="21"/>
      <c r="H269" s="21"/>
      <c r="I269" s="21" t="n">
        <v>5</v>
      </c>
      <c r="J269" s="20"/>
      <c r="K269" s="10" t="str">
        <f aca="false">IF(OR(D269="",E269=""),"",IF(AND(D269="적합",E269="적합"),"통과","미달"))</f>
        <v/>
      </c>
      <c r="L269" s="10" t="str">
        <f aca="false">IF(F269="","",IF(F269&gt;='검증 기준'!$B$5,"통과","미달"))</f>
        <v/>
      </c>
      <c r="M269" s="10" t="str">
        <f aca="false">IF(G269="","",IF(G269&lt;='검증 기준'!$B$6,"통과","불안정"))</f>
        <v/>
      </c>
      <c r="N269" s="10" t="str">
        <f aca="false">IF(OR(H269="",I269=""),"",IF(OR(AND(H269&gt;='검증 기준'!$B$7,H269&lt;=I269-'검증 기준'!$B$8),C269="고"),"통과","예비"))</f>
        <v/>
      </c>
      <c r="O269" s="10" t="str">
        <f aca="false">IF(J269="예","공급 공백",IF(OR(K269="",L269="",M269="",N269=""),"",IF(AND(K269="통과",L269="통과",N269="통과"),IF(M269="통과","패널","패널(불안정)"),IF(N269="예비","예비","제외"))))</f>
        <v/>
      </c>
    </row>
    <row r="270" customFormat="false" ht="15" hidden="false" customHeight="false" outlineLevel="0" collapsed="false">
      <c r="A270" s="10" t="str">
        <f aca="false">'템플릿 문항'!A269</f>
        <v>Q266</v>
      </c>
      <c r="B270" s="10" t="str">
        <f aca="false">'템플릿 문항'!E269</f>
        <v>{지자체} 공동육아나눔터는 어디에 있나요?</v>
      </c>
      <c r="C270" s="10" t="str">
        <f aca="false">'템플릿 문항'!H269</f>
        <v>중</v>
      </c>
      <c r="D270" s="20"/>
      <c r="E270" s="20"/>
      <c r="F270" s="21"/>
      <c r="G270" s="21"/>
      <c r="H270" s="21"/>
      <c r="I270" s="21" t="n">
        <v>5</v>
      </c>
      <c r="J270" s="20"/>
      <c r="K270" s="10" t="str">
        <f aca="false">IF(OR(D270="",E270=""),"",IF(AND(D270="적합",E270="적합"),"통과","미달"))</f>
        <v/>
      </c>
      <c r="L270" s="10" t="str">
        <f aca="false">IF(F270="","",IF(F270&gt;='검증 기준'!$B$5,"통과","미달"))</f>
        <v/>
      </c>
      <c r="M270" s="10" t="str">
        <f aca="false">IF(G270="","",IF(G270&lt;='검증 기준'!$B$6,"통과","불안정"))</f>
        <v/>
      </c>
      <c r="N270" s="10" t="str">
        <f aca="false">IF(OR(H270="",I270=""),"",IF(OR(AND(H270&gt;='검증 기준'!$B$7,H270&lt;=I270-'검증 기준'!$B$8),C270="고"),"통과","예비"))</f>
        <v/>
      </c>
      <c r="O270" s="10" t="str">
        <f aca="false">IF(J270="예","공급 공백",IF(OR(K270="",L270="",M270="",N270=""),"",IF(AND(K270="통과",L270="통과",N270="통과"),IF(M270="통과","패널","패널(불안정)"),IF(N270="예비","예비","제외"))))</f>
        <v/>
      </c>
    </row>
    <row r="271" customFormat="false" ht="15" hidden="false" customHeight="false" outlineLevel="0" collapsed="false">
      <c r="A271" s="10" t="str">
        <f aca="false">'템플릿 문항'!A270</f>
        <v>Q267</v>
      </c>
      <c r="B271" s="10" t="str">
        <f aca="false">'템플릿 문항'!E270</f>
        <v>{지자체} 육아종합지원센터 전화번호가 뭔가요?</v>
      </c>
      <c r="C271" s="10" t="str">
        <f aca="false">'템플릿 문항'!H270</f>
        <v>중</v>
      </c>
      <c r="D271" s="20"/>
      <c r="E271" s="20"/>
      <c r="F271" s="21"/>
      <c r="G271" s="21"/>
      <c r="H271" s="21"/>
      <c r="I271" s="21" t="n">
        <v>5</v>
      </c>
      <c r="J271" s="20"/>
      <c r="K271" s="10" t="str">
        <f aca="false">IF(OR(D271="",E271=""),"",IF(AND(D271="적합",E271="적합"),"통과","미달"))</f>
        <v/>
      </c>
      <c r="L271" s="10" t="str">
        <f aca="false">IF(F271="","",IF(F271&gt;='검증 기준'!$B$5,"통과","미달"))</f>
        <v/>
      </c>
      <c r="M271" s="10" t="str">
        <f aca="false">IF(G271="","",IF(G271&lt;='검증 기준'!$B$6,"통과","불안정"))</f>
        <v/>
      </c>
      <c r="N271" s="10" t="str">
        <f aca="false">IF(OR(H271="",I271=""),"",IF(OR(AND(H271&gt;='검증 기준'!$B$7,H271&lt;=I271-'검증 기준'!$B$8),C271="고"),"통과","예비"))</f>
        <v/>
      </c>
      <c r="O271" s="10" t="str">
        <f aca="false">IF(J271="예","공급 공백",IF(OR(K271="",L271="",M271="",N271=""),"",IF(AND(K271="통과",L271="통과",N271="통과"),IF(M271="통과","패널","패널(불안정)"),IF(N271="예비","예비","제외"))))</f>
        <v/>
      </c>
    </row>
    <row r="272" customFormat="false" ht="15" hidden="false" customHeight="false" outlineLevel="0" collapsed="false">
      <c r="A272" s="10" t="str">
        <f aca="false">'템플릿 문항'!A271</f>
        <v>Q268</v>
      </c>
      <c r="B272" s="10" t="str">
        <f aca="false">'템플릿 문항'!E271</f>
        <v>{지자체} 평생학습관 위치가 어디인가요?</v>
      </c>
      <c r="C272" s="10" t="str">
        <f aca="false">'템플릿 문항'!H271</f>
        <v>저</v>
      </c>
      <c r="D272" s="20"/>
      <c r="E272" s="20"/>
      <c r="F272" s="21"/>
      <c r="G272" s="21"/>
      <c r="H272" s="21"/>
      <c r="I272" s="21" t="n">
        <v>5</v>
      </c>
      <c r="J272" s="20"/>
      <c r="K272" s="10" t="str">
        <f aca="false">IF(OR(D272="",E272=""),"",IF(AND(D272="적합",E272="적합"),"통과","미달"))</f>
        <v/>
      </c>
      <c r="L272" s="10" t="str">
        <f aca="false">IF(F272="","",IF(F272&gt;='검증 기준'!$B$5,"통과","미달"))</f>
        <v/>
      </c>
      <c r="M272" s="10" t="str">
        <f aca="false">IF(G272="","",IF(G272&lt;='검증 기준'!$B$6,"통과","불안정"))</f>
        <v/>
      </c>
      <c r="N272" s="10" t="str">
        <f aca="false">IF(OR(H272="",I272=""),"",IF(OR(AND(H272&gt;='검증 기준'!$B$7,H272&lt;=I272-'검증 기준'!$B$8),C272="고"),"통과","예비"))</f>
        <v/>
      </c>
      <c r="O272" s="10" t="str">
        <f aca="false">IF(J272="예","공급 공백",IF(OR(K272="",L272="",M272="",N272=""),"",IF(AND(K272="통과",L272="통과",N272="통과"),IF(M272="통과","패널","패널(불안정)"),IF(N272="예비","예비","제외"))))</f>
        <v/>
      </c>
    </row>
    <row r="273" customFormat="false" ht="15" hidden="false" customHeight="false" outlineLevel="0" collapsed="false">
      <c r="A273" s="10" t="str">
        <f aca="false">'템플릿 문항'!A272</f>
        <v>Q269</v>
      </c>
      <c r="B273" s="10" t="str">
        <f aca="false">'템플릿 문항'!E272</f>
        <v>{지자체} 청소년 문화의집 운영 시간이 언제인가요?</v>
      </c>
      <c r="C273" s="10" t="str">
        <f aca="false">'템플릿 문항'!H272</f>
        <v>저</v>
      </c>
      <c r="D273" s="20"/>
      <c r="E273" s="20"/>
      <c r="F273" s="21"/>
      <c r="G273" s="21"/>
      <c r="H273" s="21"/>
      <c r="I273" s="21" t="n">
        <v>5</v>
      </c>
      <c r="J273" s="20"/>
      <c r="K273" s="10" t="str">
        <f aca="false">IF(OR(D273="",E273=""),"",IF(AND(D273="적합",E273="적합"),"통과","미달"))</f>
        <v/>
      </c>
      <c r="L273" s="10" t="str">
        <f aca="false">IF(F273="","",IF(F273&gt;='검증 기준'!$B$5,"통과","미달"))</f>
        <v/>
      </c>
      <c r="M273" s="10" t="str">
        <f aca="false">IF(G273="","",IF(G273&lt;='검증 기준'!$B$6,"통과","불안정"))</f>
        <v/>
      </c>
      <c r="N273" s="10" t="str">
        <f aca="false">IF(OR(H273="",I273=""),"",IF(OR(AND(H273&gt;='검증 기준'!$B$7,H273&lt;=I273-'검증 기준'!$B$8),C273="고"),"통과","예비"))</f>
        <v/>
      </c>
      <c r="O273" s="10" t="str">
        <f aca="false">IF(J273="예","공급 공백",IF(OR(K273="",L273="",M273="",N273=""),"",IF(AND(K273="통과",L273="통과",N273="통과"),IF(M273="통과","패널","패널(불안정)"),IF(N273="예비","예비","제외"))))</f>
        <v/>
      </c>
    </row>
    <row r="274" customFormat="false" ht="15" hidden="false" customHeight="false" outlineLevel="0" collapsed="false">
      <c r="A274" s="10" t="str">
        <f aca="false">'템플릿 문항'!A273</f>
        <v>Q270</v>
      </c>
      <c r="B274" s="10" t="str">
        <f aca="false">'템플릿 문항'!E273</f>
        <v>{지자체} 장학금 지급 금액이 얼마인가요?</v>
      </c>
      <c r="C274" s="10" t="str">
        <f aca="false">'템플릿 문항'!H273</f>
        <v>중</v>
      </c>
      <c r="D274" s="20"/>
      <c r="E274" s="20"/>
      <c r="F274" s="21"/>
      <c r="G274" s="21"/>
      <c r="H274" s="21"/>
      <c r="I274" s="21" t="n">
        <v>5</v>
      </c>
      <c r="J274" s="20"/>
      <c r="K274" s="10" t="str">
        <f aca="false">IF(OR(D274="",E274=""),"",IF(AND(D274="적합",E274="적합"),"통과","미달"))</f>
        <v/>
      </c>
      <c r="L274" s="10" t="str">
        <f aca="false">IF(F274="","",IF(F274&gt;='검증 기준'!$B$5,"통과","미달"))</f>
        <v/>
      </c>
      <c r="M274" s="10" t="str">
        <f aca="false">IF(G274="","",IF(G274&lt;='검증 기준'!$B$6,"통과","불안정"))</f>
        <v/>
      </c>
      <c r="N274" s="10" t="str">
        <f aca="false">IF(OR(H274="",I274=""),"",IF(OR(AND(H274&gt;='검증 기준'!$B$7,H274&lt;=I274-'검증 기준'!$B$8),C274="고"),"통과","예비"))</f>
        <v/>
      </c>
      <c r="O274" s="10" t="str">
        <f aca="false">IF(J274="예","공급 공백",IF(OR(K274="",L274="",M274="",N274=""),"",IF(AND(K274="통과",L274="통과",N274="통과"),IF(M274="통과","패널","패널(불안정)"),IF(N274="예비","예비","제외"))))</f>
        <v/>
      </c>
    </row>
    <row r="275" customFormat="false" ht="15" hidden="false" customHeight="false" outlineLevel="0" collapsed="false">
      <c r="A275" s="10" t="str">
        <f aca="false">'템플릿 문항'!A274</f>
        <v>Q271</v>
      </c>
      <c r="B275" s="10" t="str">
        <f aca="false">'템플릿 문항'!E274</f>
        <v>{지자체} 교육 지원 담당 부서 전화번호가 뭔가요?</v>
      </c>
      <c r="C275" s="10" t="str">
        <f aca="false">'템플릿 문항'!H274</f>
        <v>저</v>
      </c>
      <c r="D275" s="20"/>
      <c r="E275" s="20"/>
      <c r="F275" s="21"/>
      <c r="G275" s="21"/>
      <c r="H275" s="21"/>
      <c r="I275" s="21" t="n">
        <v>5</v>
      </c>
      <c r="J275" s="20"/>
      <c r="K275" s="10" t="str">
        <f aca="false">IF(OR(D275="",E275=""),"",IF(AND(D275="적합",E275="적합"),"통과","미달"))</f>
        <v/>
      </c>
      <c r="L275" s="10" t="str">
        <f aca="false">IF(F275="","",IF(F275&gt;='검증 기준'!$B$5,"통과","미달"))</f>
        <v/>
      </c>
      <c r="M275" s="10" t="str">
        <f aca="false">IF(G275="","",IF(G275&lt;='검증 기준'!$B$6,"통과","불안정"))</f>
        <v/>
      </c>
      <c r="N275" s="10" t="str">
        <f aca="false">IF(OR(H275="",I275=""),"",IF(OR(AND(H275&gt;='검증 기준'!$B$7,H275&lt;=I275-'검증 기준'!$B$8),C275="고"),"통과","예비"))</f>
        <v/>
      </c>
      <c r="O275" s="10" t="str">
        <f aca="false">IF(J275="예","공급 공백",IF(OR(K275="",L275="",M275="",N275=""),"",IF(AND(K275="통과",L275="통과",N275="통과"),IF(M275="통과","패널","패널(불안정)"),IF(N275="예비","예비","제외"))))</f>
        <v/>
      </c>
    </row>
    <row r="276" customFormat="false" ht="15" hidden="false" customHeight="false" outlineLevel="0" collapsed="false">
      <c r="A276" s="10" t="str">
        <f aca="false">'템플릿 문항'!A275</f>
        <v>Q272</v>
      </c>
      <c r="B276" s="10" t="str">
        <f aca="false">'템플릿 문항'!E275</f>
        <v>{지자체} {도서관} 운영 시간이 언제인가요?</v>
      </c>
      <c r="C276" s="10" t="str">
        <f aca="false">'템플릿 문항'!H275</f>
        <v>저</v>
      </c>
      <c r="D276" s="20"/>
      <c r="E276" s="20"/>
      <c r="F276" s="21"/>
      <c r="G276" s="21"/>
      <c r="H276" s="21"/>
      <c r="I276" s="21" t="n">
        <v>5</v>
      </c>
      <c r="J276" s="20"/>
      <c r="K276" s="10" t="str">
        <f aca="false">IF(OR(D276="",E276=""),"",IF(AND(D276="적합",E276="적합"),"통과","미달"))</f>
        <v/>
      </c>
      <c r="L276" s="10" t="str">
        <f aca="false">IF(F276="","",IF(F276&gt;='검증 기준'!$B$5,"통과","미달"))</f>
        <v/>
      </c>
      <c r="M276" s="10" t="str">
        <f aca="false">IF(G276="","",IF(G276&lt;='검증 기준'!$B$6,"통과","불안정"))</f>
        <v/>
      </c>
      <c r="N276" s="10" t="str">
        <f aca="false">IF(OR(H276="",I276=""),"",IF(OR(AND(H276&gt;='검증 기준'!$B$7,H276&lt;=I276-'검증 기준'!$B$8),C276="고"),"통과","예비"))</f>
        <v/>
      </c>
      <c r="O276" s="10" t="str">
        <f aca="false">IF(J276="예","공급 공백",IF(OR(K276="",L276="",M276="",N276=""),"",IF(AND(K276="통과",L276="통과",N276="통과"),IF(M276="통과","패널","패널(불안정)"),IF(N276="예비","예비","제외"))))</f>
        <v/>
      </c>
    </row>
    <row r="277" customFormat="false" ht="15" hidden="false" customHeight="false" outlineLevel="0" collapsed="false">
      <c r="A277" s="10" t="str">
        <f aca="false">'템플릿 문항'!A276</f>
        <v>Q273</v>
      </c>
      <c r="B277" s="10" t="str">
        <f aca="false">'템플릿 문항'!E276</f>
        <v>{지자체} {도서관} 전화번호가 뭔가요?</v>
      </c>
      <c r="C277" s="10" t="str">
        <f aca="false">'템플릿 문항'!H276</f>
        <v>저</v>
      </c>
      <c r="D277" s="20"/>
      <c r="E277" s="20"/>
      <c r="F277" s="21"/>
      <c r="G277" s="21"/>
      <c r="H277" s="21"/>
      <c r="I277" s="21" t="n">
        <v>5</v>
      </c>
      <c r="J277" s="20"/>
      <c r="K277" s="10" t="str">
        <f aca="false">IF(OR(D277="",E277=""),"",IF(AND(D277="적합",E277="적합"),"통과","미달"))</f>
        <v/>
      </c>
      <c r="L277" s="10" t="str">
        <f aca="false">IF(F277="","",IF(F277&gt;='검증 기준'!$B$5,"통과","미달"))</f>
        <v/>
      </c>
      <c r="M277" s="10" t="str">
        <f aca="false">IF(G277="","",IF(G277&lt;='검증 기준'!$B$6,"통과","불안정"))</f>
        <v/>
      </c>
      <c r="N277" s="10" t="str">
        <f aca="false">IF(OR(H277="",I277=""),"",IF(OR(AND(H277&gt;='검증 기준'!$B$7,H277&lt;=I277-'검증 기준'!$B$8),C277="고"),"통과","예비"))</f>
        <v/>
      </c>
      <c r="O277" s="10" t="str">
        <f aca="false">IF(J277="예","공급 공백",IF(OR(K277="",L277="",M277="",N277=""),"",IF(AND(K277="통과",L277="통과",N277="통과"),IF(M277="통과","패널","패널(불안정)"),IF(N277="예비","예비","제외"))))</f>
        <v/>
      </c>
    </row>
    <row r="278" customFormat="false" ht="15" hidden="false" customHeight="false" outlineLevel="0" collapsed="false">
      <c r="A278" s="10" t="str">
        <f aca="false">'템플릿 문항'!A277</f>
        <v>Q274</v>
      </c>
      <c r="B278" s="10" t="str">
        <f aca="false">'템플릿 문항'!E277</f>
        <v>{지자체} 문화회관 주차 요금이 얼마인가요?</v>
      </c>
      <c r="C278" s="10" t="str">
        <f aca="false">'템플릿 문항'!H277</f>
        <v>저</v>
      </c>
      <c r="D278" s="20"/>
      <c r="E278" s="20"/>
      <c r="F278" s="21"/>
      <c r="G278" s="21"/>
      <c r="H278" s="21"/>
      <c r="I278" s="21" t="n">
        <v>5</v>
      </c>
      <c r="J278" s="20"/>
      <c r="K278" s="10" t="str">
        <f aca="false">IF(OR(D278="",E278=""),"",IF(AND(D278="적합",E278="적합"),"통과","미달"))</f>
        <v/>
      </c>
      <c r="L278" s="10" t="str">
        <f aca="false">IF(F278="","",IF(F278&gt;='검증 기준'!$B$5,"통과","미달"))</f>
        <v/>
      </c>
      <c r="M278" s="10" t="str">
        <f aca="false">IF(G278="","",IF(G278&lt;='검증 기준'!$B$6,"통과","불안정"))</f>
        <v/>
      </c>
      <c r="N278" s="10" t="str">
        <f aca="false">IF(OR(H278="",I278=""),"",IF(OR(AND(H278&gt;='검증 기준'!$B$7,H278&lt;=I278-'검증 기준'!$B$8),C278="고"),"통과","예비"))</f>
        <v/>
      </c>
      <c r="O278" s="10" t="str">
        <f aca="false">IF(J278="예","공급 공백",IF(OR(K278="",L278="",M278="",N278=""),"",IF(AND(K278="통과",L278="통과",N278="통과"),IF(M278="통과","패널","패널(불안정)"),IF(N278="예비","예비","제외"))))</f>
        <v/>
      </c>
    </row>
    <row r="279" customFormat="false" ht="15" hidden="false" customHeight="false" outlineLevel="0" collapsed="false">
      <c r="A279" s="10" t="str">
        <f aca="false">'템플릿 문항'!A278</f>
        <v>Q275</v>
      </c>
      <c r="B279" s="10" t="str">
        <f aca="false">'템플릿 문항'!E278</f>
        <v>{지자체} 문화회관 공연 예매는 어디서 하나요?</v>
      </c>
      <c r="C279" s="10" t="str">
        <f aca="false">'템플릿 문항'!H278</f>
        <v>저</v>
      </c>
      <c r="D279" s="20"/>
      <c r="E279" s="20"/>
      <c r="F279" s="21"/>
      <c r="G279" s="21"/>
      <c r="H279" s="21"/>
      <c r="I279" s="21" t="n">
        <v>5</v>
      </c>
      <c r="J279" s="20"/>
      <c r="K279" s="10" t="str">
        <f aca="false">IF(OR(D279="",E279=""),"",IF(AND(D279="적합",E279="적합"),"통과","미달"))</f>
        <v/>
      </c>
      <c r="L279" s="10" t="str">
        <f aca="false">IF(F279="","",IF(F279&gt;='검증 기준'!$B$5,"통과","미달"))</f>
        <v/>
      </c>
      <c r="M279" s="10" t="str">
        <f aca="false">IF(G279="","",IF(G279&lt;='검증 기준'!$B$6,"통과","불안정"))</f>
        <v/>
      </c>
      <c r="N279" s="10" t="str">
        <f aca="false">IF(OR(H279="",I279=""),"",IF(OR(AND(H279&gt;='검증 기준'!$B$7,H279&lt;=I279-'검증 기준'!$B$8),C279="고"),"통과","예비"))</f>
        <v/>
      </c>
      <c r="O279" s="10" t="str">
        <f aca="false">IF(J279="예","공급 공백",IF(OR(K279="",L279="",M279="",N279=""),"",IF(AND(K279="통과",L279="통과",N279="통과"),IF(M279="통과","패널","패널(불안정)"),IF(N279="예비","예비","제외"))))</f>
        <v/>
      </c>
    </row>
    <row r="280" customFormat="false" ht="15" hidden="false" customHeight="false" outlineLevel="0" collapsed="false">
      <c r="A280" s="10" t="str">
        <f aca="false">'템플릿 문항'!A279</f>
        <v>Q276</v>
      </c>
      <c r="B280" s="10" t="str">
        <f aca="false">'템플릿 문항'!E279</f>
        <v>{지자체} {축제} 입장료가 있나요?</v>
      </c>
      <c r="C280" s="10" t="str">
        <f aca="false">'템플릿 문항'!H279</f>
        <v>저</v>
      </c>
      <c r="D280" s="20"/>
      <c r="E280" s="20"/>
      <c r="F280" s="21"/>
      <c r="G280" s="21"/>
      <c r="H280" s="21"/>
      <c r="I280" s="21" t="n">
        <v>5</v>
      </c>
      <c r="J280" s="20"/>
      <c r="K280" s="10" t="str">
        <f aca="false">IF(OR(D280="",E280=""),"",IF(AND(D280="적합",E280="적합"),"통과","미달"))</f>
        <v/>
      </c>
      <c r="L280" s="10" t="str">
        <f aca="false">IF(F280="","",IF(F280&gt;='검증 기준'!$B$5,"통과","미달"))</f>
        <v/>
      </c>
      <c r="M280" s="10" t="str">
        <f aca="false">IF(G280="","",IF(G280&lt;='검증 기준'!$B$6,"통과","불안정"))</f>
        <v/>
      </c>
      <c r="N280" s="10" t="str">
        <f aca="false">IF(OR(H280="",I280=""),"",IF(OR(AND(H280&gt;='검증 기준'!$B$7,H280&lt;=I280-'검증 기준'!$B$8),C280="고"),"통과","예비"))</f>
        <v/>
      </c>
      <c r="O280" s="10" t="str">
        <f aca="false">IF(J280="예","공급 공백",IF(OR(K280="",L280="",M280="",N280=""),"",IF(AND(K280="통과",L280="통과",N280="통과"),IF(M280="통과","패널","패널(불안정)"),IF(N280="예비","예비","제외"))))</f>
        <v/>
      </c>
    </row>
    <row r="281" customFormat="false" ht="15" hidden="false" customHeight="false" outlineLevel="0" collapsed="false">
      <c r="A281" s="10" t="str">
        <f aca="false">'템플릿 문항'!A280</f>
        <v>Q277</v>
      </c>
      <c r="B281" s="10" t="str">
        <f aca="false">'템플릿 문항'!E280</f>
        <v>{지자체} {축제} 주최·문의처가 어디인가요?</v>
      </c>
      <c r="C281" s="10" t="str">
        <f aca="false">'템플릿 문항'!H280</f>
        <v>저</v>
      </c>
      <c r="D281" s="20"/>
      <c r="E281" s="20"/>
      <c r="F281" s="21"/>
      <c r="G281" s="21"/>
      <c r="H281" s="21"/>
      <c r="I281" s="21" t="n">
        <v>5</v>
      </c>
      <c r="J281" s="20"/>
      <c r="K281" s="10" t="str">
        <f aca="false">IF(OR(D281="",E281=""),"",IF(AND(D281="적합",E281="적합"),"통과","미달"))</f>
        <v/>
      </c>
      <c r="L281" s="10" t="str">
        <f aca="false">IF(F281="","",IF(F281&gt;='검증 기준'!$B$5,"통과","미달"))</f>
        <v/>
      </c>
      <c r="M281" s="10" t="str">
        <f aca="false">IF(G281="","",IF(G281&lt;='검증 기준'!$B$6,"통과","불안정"))</f>
        <v/>
      </c>
      <c r="N281" s="10" t="str">
        <f aca="false">IF(OR(H281="",I281=""),"",IF(OR(AND(H281&gt;='검증 기준'!$B$7,H281&lt;=I281-'검증 기준'!$B$8),C281="고"),"통과","예비"))</f>
        <v/>
      </c>
      <c r="O281" s="10" t="str">
        <f aca="false">IF(J281="예","공급 공백",IF(OR(K281="",L281="",M281="",N281=""),"",IF(AND(K281="통과",L281="통과",N281="통과"),IF(M281="통과","패널","패널(불안정)"),IF(N281="예비","예비","제외"))))</f>
        <v/>
      </c>
    </row>
    <row r="282" customFormat="false" ht="15" hidden="false" customHeight="false" outlineLevel="0" collapsed="false">
      <c r="A282" s="10" t="str">
        <f aca="false">'템플릿 문항'!A281</f>
        <v>Q278</v>
      </c>
      <c r="B282" s="10" t="str">
        <f aca="false">'템플릿 문항'!E281</f>
        <v>{지자체} {명소} 운영 시간이 언제인가요?</v>
      </c>
      <c r="C282" s="10" t="str">
        <f aca="false">'템플릿 문항'!H281</f>
        <v>저</v>
      </c>
      <c r="D282" s="20"/>
      <c r="E282" s="20"/>
      <c r="F282" s="21"/>
      <c r="G282" s="21"/>
      <c r="H282" s="21"/>
      <c r="I282" s="21" t="n">
        <v>5</v>
      </c>
      <c r="J282" s="20"/>
      <c r="K282" s="10" t="str">
        <f aca="false">IF(OR(D282="",E282=""),"",IF(AND(D282="적합",E282="적합"),"통과","미달"))</f>
        <v/>
      </c>
      <c r="L282" s="10" t="str">
        <f aca="false">IF(F282="","",IF(F282&gt;='검증 기준'!$B$5,"통과","미달"))</f>
        <v/>
      </c>
      <c r="M282" s="10" t="str">
        <f aca="false">IF(G282="","",IF(G282&lt;='검증 기준'!$B$6,"통과","불안정"))</f>
        <v/>
      </c>
      <c r="N282" s="10" t="str">
        <f aca="false">IF(OR(H282="",I282=""),"",IF(OR(AND(H282&gt;='검증 기준'!$B$7,H282&lt;=I282-'검증 기준'!$B$8),C282="고"),"통과","예비"))</f>
        <v/>
      </c>
      <c r="O282" s="10" t="str">
        <f aca="false">IF(J282="예","공급 공백",IF(OR(K282="",L282="",M282="",N282=""),"",IF(AND(K282="통과",L282="통과",N282="통과"),IF(M282="통과","패널","패널(불안정)"),IF(N282="예비","예비","제외"))))</f>
        <v/>
      </c>
    </row>
    <row r="283" customFormat="false" ht="15" hidden="false" customHeight="false" outlineLevel="0" collapsed="false">
      <c r="A283" s="10" t="str">
        <f aca="false">'템플릿 문항'!A282</f>
        <v>Q279</v>
      </c>
      <c r="B283" s="10" t="str">
        <f aca="false">'템플릿 문항'!E282</f>
        <v>{지자체} {명소} 가는 대중교통이 뭔가요?</v>
      </c>
      <c r="C283" s="10" t="str">
        <f aca="false">'템플릿 문항'!H282</f>
        <v>저</v>
      </c>
      <c r="D283" s="20"/>
      <c r="E283" s="20"/>
      <c r="F283" s="21"/>
      <c r="G283" s="21"/>
      <c r="H283" s="21"/>
      <c r="I283" s="21" t="n">
        <v>5</v>
      </c>
      <c r="J283" s="20"/>
      <c r="K283" s="10" t="str">
        <f aca="false">IF(OR(D283="",E283=""),"",IF(AND(D283="적합",E283="적합"),"통과","미달"))</f>
        <v/>
      </c>
      <c r="L283" s="10" t="str">
        <f aca="false">IF(F283="","",IF(F283&gt;='검증 기준'!$B$5,"통과","미달"))</f>
        <v/>
      </c>
      <c r="M283" s="10" t="str">
        <f aca="false">IF(G283="","",IF(G283&lt;='검증 기준'!$B$6,"통과","불안정"))</f>
        <v/>
      </c>
      <c r="N283" s="10" t="str">
        <f aca="false">IF(OR(H283="",I283=""),"",IF(OR(AND(H283&gt;='검증 기준'!$B$7,H283&lt;=I283-'검증 기준'!$B$8),C283="고"),"통과","예비"))</f>
        <v/>
      </c>
      <c r="O283" s="10" t="str">
        <f aca="false">IF(J283="예","공급 공백",IF(OR(K283="",L283="",M283="",N283=""),"",IF(AND(K283="통과",L283="통과",N283="통과"),IF(M283="통과","패널","패널(불안정)"),IF(N283="예비","예비","제외"))))</f>
        <v/>
      </c>
    </row>
    <row r="284" customFormat="false" ht="15" hidden="false" customHeight="false" outlineLevel="0" collapsed="false">
      <c r="A284" s="10" t="str">
        <f aca="false">'템플릿 문항'!A283</f>
        <v>Q280</v>
      </c>
      <c r="B284" s="10" t="str">
        <f aca="false">'템플릿 문항'!E283</f>
        <v>{지자체} 건축물대장 발급은 어디서 하나요?</v>
      </c>
      <c r="C284" s="10" t="str">
        <f aca="false">'템플릿 문항'!H283</f>
        <v>저</v>
      </c>
      <c r="D284" s="20"/>
      <c r="E284" s="20"/>
      <c r="F284" s="21"/>
      <c r="G284" s="21"/>
      <c r="H284" s="21"/>
      <c r="I284" s="21" t="n">
        <v>5</v>
      </c>
      <c r="J284" s="20"/>
      <c r="K284" s="10" t="str">
        <f aca="false">IF(OR(D284="",E284=""),"",IF(AND(D284="적합",E284="적합"),"통과","미달"))</f>
        <v/>
      </c>
      <c r="L284" s="10" t="str">
        <f aca="false">IF(F284="","",IF(F284&gt;='검증 기준'!$B$5,"통과","미달"))</f>
        <v/>
      </c>
      <c r="M284" s="10" t="str">
        <f aca="false">IF(G284="","",IF(G284&lt;='검증 기준'!$B$6,"통과","불안정"))</f>
        <v/>
      </c>
      <c r="N284" s="10" t="str">
        <f aca="false">IF(OR(H284="",I284=""),"",IF(OR(AND(H284&gt;='검증 기준'!$B$7,H284&lt;=I284-'검증 기준'!$B$8),C284="고"),"통과","예비"))</f>
        <v/>
      </c>
      <c r="O284" s="10" t="str">
        <f aca="false">IF(J284="예","공급 공백",IF(OR(K284="",L284="",M284="",N284=""),"",IF(AND(K284="통과",L284="통과",N284="통과"),IF(M284="통과","패널","패널(불안정)"),IF(N284="예비","예비","제외"))))</f>
        <v/>
      </c>
    </row>
    <row r="285" customFormat="false" ht="15" hidden="false" customHeight="false" outlineLevel="0" collapsed="false">
      <c r="A285" s="10" t="str">
        <f aca="false">'템플릿 문항'!A284</f>
        <v>Q281</v>
      </c>
      <c r="B285" s="10" t="str">
        <f aca="false">'템플릿 문항'!E284</f>
        <v>{지자체} 건축 허가 수수료가 얼마인가요?</v>
      </c>
      <c r="C285" s="10" t="str">
        <f aca="false">'템플릿 문항'!H284</f>
        <v>중</v>
      </c>
      <c r="D285" s="20"/>
      <c r="E285" s="20"/>
      <c r="F285" s="21"/>
      <c r="G285" s="21"/>
      <c r="H285" s="21"/>
      <c r="I285" s="21" t="n">
        <v>5</v>
      </c>
      <c r="J285" s="20"/>
      <c r="K285" s="10" t="str">
        <f aca="false">IF(OR(D285="",E285=""),"",IF(AND(D285="적합",E285="적합"),"통과","미달"))</f>
        <v/>
      </c>
      <c r="L285" s="10" t="str">
        <f aca="false">IF(F285="","",IF(F285&gt;='검증 기준'!$B$5,"통과","미달"))</f>
        <v/>
      </c>
      <c r="M285" s="10" t="str">
        <f aca="false">IF(G285="","",IF(G285&lt;='검증 기준'!$B$6,"통과","불안정"))</f>
        <v/>
      </c>
      <c r="N285" s="10" t="str">
        <f aca="false">IF(OR(H285="",I285=""),"",IF(OR(AND(H285&gt;='검증 기준'!$B$7,H285&lt;=I285-'검증 기준'!$B$8),C285="고"),"통과","예비"))</f>
        <v/>
      </c>
      <c r="O285" s="10" t="str">
        <f aca="false">IF(J285="예","공급 공백",IF(OR(K285="",L285="",M285="",N285=""),"",IF(AND(K285="통과",L285="통과",N285="통과"),IF(M285="통과","패널","패널(불안정)"),IF(N285="예비","예비","제외"))))</f>
        <v/>
      </c>
    </row>
    <row r="286" customFormat="false" ht="15" hidden="false" customHeight="false" outlineLevel="0" collapsed="false">
      <c r="A286" s="10" t="str">
        <f aca="false">'템플릿 문항'!A285</f>
        <v>Q282</v>
      </c>
      <c r="B286" s="10" t="str">
        <f aca="false">'템플릿 문항'!E285</f>
        <v>{지자체} 공동주택 지원 사업 지원 금액이 얼마인가요?</v>
      </c>
      <c r="C286" s="10" t="str">
        <f aca="false">'템플릿 문항'!H285</f>
        <v>중</v>
      </c>
      <c r="D286" s="20"/>
      <c r="E286" s="20"/>
      <c r="F286" s="21"/>
      <c r="G286" s="21"/>
      <c r="H286" s="21"/>
      <c r="I286" s="21" t="n">
        <v>5</v>
      </c>
      <c r="J286" s="20"/>
      <c r="K286" s="10" t="str">
        <f aca="false">IF(OR(D286="",E286=""),"",IF(AND(D286="적합",E286="적합"),"통과","미달"))</f>
        <v/>
      </c>
      <c r="L286" s="10" t="str">
        <f aca="false">IF(F286="","",IF(F286&gt;='검증 기준'!$B$5,"통과","미달"))</f>
        <v/>
      </c>
      <c r="M286" s="10" t="str">
        <f aca="false">IF(G286="","",IF(G286&lt;='검증 기준'!$B$6,"통과","불안정"))</f>
        <v/>
      </c>
      <c r="N286" s="10" t="str">
        <f aca="false">IF(OR(H286="",I286=""),"",IF(OR(AND(H286&gt;='검증 기준'!$B$7,H286&lt;=I286-'검증 기준'!$B$8),C286="고"),"통과","예비"))</f>
        <v/>
      </c>
      <c r="O286" s="10" t="str">
        <f aca="false">IF(J286="예","공급 공백",IF(OR(K286="",L286="",M286="",N286=""),"",IF(AND(K286="통과",L286="통과",N286="통과"),IF(M286="통과","패널","패널(불안정)"),IF(N286="예비","예비","제외"))))</f>
        <v/>
      </c>
    </row>
    <row r="287" customFormat="false" ht="15" hidden="false" customHeight="false" outlineLevel="0" collapsed="false">
      <c r="A287" s="10" t="str">
        <f aca="false">'템플릿 문항'!A286</f>
        <v>Q283</v>
      </c>
      <c r="B287" s="10" t="str">
        <f aca="false">'템플릿 문항'!E286</f>
        <v>{지자체} 공동주택 지원 신청은 어디서 하나요?</v>
      </c>
      <c r="C287" s="10" t="str">
        <f aca="false">'템플릿 문항'!H286</f>
        <v>중</v>
      </c>
      <c r="D287" s="20"/>
      <c r="E287" s="20"/>
      <c r="F287" s="21"/>
      <c r="G287" s="21"/>
      <c r="H287" s="21"/>
      <c r="I287" s="21" t="n">
        <v>5</v>
      </c>
      <c r="J287" s="20"/>
      <c r="K287" s="10" t="str">
        <f aca="false">IF(OR(D287="",E287=""),"",IF(AND(D287="적합",E287="적합"),"통과","미달"))</f>
        <v/>
      </c>
      <c r="L287" s="10" t="str">
        <f aca="false">IF(F287="","",IF(F287&gt;='검증 기준'!$B$5,"통과","미달"))</f>
        <v/>
      </c>
      <c r="M287" s="10" t="str">
        <f aca="false">IF(G287="","",IF(G287&lt;='검증 기준'!$B$6,"통과","불안정"))</f>
        <v/>
      </c>
      <c r="N287" s="10" t="str">
        <f aca="false">IF(OR(H287="",I287=""),"",IF(OR(AND(H287&gt;='검증 기준'!$B$7,H287&lt;=I287-'검증 기준'!$B$8),C287="고"),"통과","예비"))</f>
        <v/>
      </c>
      <c r="O287" s="10" t="str">
        <f aca="false">IF(J287="예","공급 공백",IF(OR(K287="",L287="",M287="",N287=""),"",IF(AND(K287="통과",L287="통과",N287="통과"),IF(M287="통과","패널","패널(불안정)"),IF(N287="예비","예비","제외"))))</f>
        <v/>
      </c>
    </row>
    <row r="288" customFormat="false" ht="15" hidden="false" customHeight="false" outlineLevel="0" collapsed="false">
      <c r="A288" s="10" t="str">
        <f aca="false">'템플릿 문항'!A287</f>
        <v>Q284</v>
      </c>
      <c r="B288" s="10" t="str">
        <f aca="false">'템플릿 문항'!E287</f>
        <v>{지자체} 전세 피해 긴급 주거 지원이 있나요?</v>
      </c>
      <c r="C288" s="10" t="str">
        <f aca="false">'템플릿 문항'!H287</f>
        <v>고</v>
      </c>
      <c r="D288" s="20"/>
      <c r="E288" s="20"/>
      <c r="F288" s="21"/>
      <c r="G288" s="21"/>
      <c r="H288" s="21"/>
      <c r="I288" s="21" t="n">
        <v>5</v>
      </c>
      <c r="J288" s="20"/>
      <c r="K288" s="10" t="str">
        <f aca="false">IF(OR(D288="",E288=""),"",IF(AND(D288="적합",E288="적합"),"통과","미달"))</f>
        <v/>
      </c>
      <c r="L288" s="10" t="str">
        <f aca="false">IF(F288="","",IF(F288&gt;='검증 기준'!$B$5,"통과","미달"))</f>
        <v/>
      </c>
      <c r="M288" s="10" t="str">
        <f aca="false">IF(G288="","",IF(G288&lt;='검증 기준'!$B$6,"통과","불안정"))</f>
        <v/>
      </c>
      <c r="N288" s="10" t="str">
        <f aca="false">IF(OR(H288="",I288=""),"",IF(OR(AND(H288&gt;='검증 기준'!$B$7,H288&lt;=I288-'검증 기준'!$B$8),C288="고"),"통과","예비"))</f>
        <v/>
      </c>
      <c r="O288" s="10" t="str">
        <f aca="false">IF(J288="예","공급 공백",IF(OR(K288="",L288="",M288="",N288=""),"",IF(AND(K288="통과",L288="통과",N288="통과"),IF(M288="통과","패널","패널(불안정)"),IF(N288="예비","예비","제외"))))</f>
        <v/>
      </c>
    </row>
    <row r="289" customFormat="false" ht="15" hidden="false" customHeight="false" outlineLevel="0" collapsed="false">
      <c r="A289" s="10" t="str">
        <f aca="false">'템플릿 문항'!A288</f>
        <v>Q285</v>
      </c>
      <c r="B289" s="10" t="str">
        <f aca="false">'템플릿 문항'!E288</f>
        <v>{지자체} 주거복지센터 전화번호가 뭔가요?</v>
      </c>
      <c r="C289" s="10" t="str">
        <f aca="false">'템플릿 문항'!H288</f>
        <v>고</v>
      </c>
      <c r="D289" s="20"/>
      <c r="E289" s="20"/>
      <c r="F289" s="21"/>
      <c r="G289" s="21"/>
      <c r="H289" s="21"/>
      <c r="I289" s="21" t="n">
        <v>5</v>
      </c>
      <c r="J289" s="20"/>
      <c r="K289" s="10" t="str">
        <f aca="false">IF(OR(D289="",E289=""),"",IF(AND(D289="적합",E289="적합"),"통과","미달"))</f>
        <v/>
      </c>
      <c r="L289" s="10" t="str">
        <f aca="false">IF(F289="","",IF(F289&gt;='검증 기준'!$B$5,"통과","미달"))</f>
        <v/>
      </c>
      <c r="M289" s="10" t="str">
        <f aca="false">IF(G289="","",IF(G289&lt;='검증 기준'!$B$6,"통과","불안정"))</f>
        <v/>
      </c>
      <c r="N289" s="10" t="str">
        <f aca="false">IF(OR(H289="",I289=""),"",IF(OR(AND(H289&gt;='검증 기준'!$B$7,H289&lt;=I289-'검증 기준'!$B$8),C289="고"),"통과","예비"))</f>
        <v/>
      </c>
      <c r="O289" s="10" t="str">
        <f aca="false">IF(J289="예","공급 공백",IF(OR(K289="",L289="",M289="",N289=""),"",IF(AND(K289="통과",L289="통과",N289="통과"),IF(M289="통과","패널","패널(불안정)"),IF(N289="예비","예비","제외"))))</f>
        <v/>
      </c>
    </row>
    <row r="290" customFormat="false" ht="15" hidden="false" customHeight="false" outlineLevel="0" collapsed="false">
      <c r="A290" s="10" t="str">
        <f aca="false">'템플릿 문항'!A289</f>
        <v>Q286</v>
      </c>
      <c r="B290" s="10" t="str">
        <f aca="false">'템플릿 문항'!E289</f>
        <v>{지자체} 청년 월세 지원 신청 기간이 언제인가요?</v>
      </c>
      <c r="C290" s="10" t="str">
        <f aca="false">'템플릿 문항'!H289</f>
        <v>고</v>
      </c>
      <c r="D290" s="20"/>
      <c r="E290" s="20"/>
      <c r="F290" s="21"/>
      <c r="G290" s="21"/>
      <c r="H290" s="21"/>
      <c r="I290" s="21" t="n">
        <v>5</v>
      </c>
      <c r="J290" s="20"/>
      <c r="K290" s="10" t="str">
        <f aca="false">IF(OR(D290="",E290=""),"",IF(AND(D290="적합",E290="적합"),"통과","미달"))</f>
        <v/>
      </c>
      <c r="L290" s="10" t="str">
        <f aca="false">IF(F290="","",IF(F290&gt;='검증 기준'!$B$5,"통과","미달"))</f>
        <v/>
      </c>
      <c r="M290" s="10" t="str">
        <f aca="false">IF(G290="","",IF(G290&lt;='검증 기준'!$B$6,"통과","불안정"))</f>
        <v/>
      </c>
      <c r="N290" s="10" t="str">
        <f aca="false">IF(OR(H290="",I290=""),"",IF(OR(AND(H290&gt;='검증 기준'!$B$7,H290&lt;=I290-'검증 기준'!$B$8),C290="고"),"통과","예비"))</f>
        <v/>
      </c>
      <c r="O290" s="10" t="str">
        <f aca="false">IF(J290="예","공급 공백",IF(OR(K290="",L290="",M290="",N290=""),"",IF(AND(K290="통과",L290="통과",N290="통과"),IF(M290="통과","패널","패널(불안정)"),IF(N290="예비","예비","제외"))))</f>
        <v/>
      </c>
    </row>
    <row r="291" customFormat="false" ht="15" hidden="false" customHeight="false" outlineLevel="0" collapsed="false">
      <c r="A291" s="10" t="str">
        <f aca="false">'템플릿 문항'!A290</f>
        <v>Q287</v>
      </c>
      <c r="B291" s="10" t="str">
        <f aca="false">'템플릿 문항'!E290</f>
        <v>{지자체} 주거급여 담당 부서 전화번호가 뭔가요?</v>
      </c>
      <c r="C291" s="10" t="str">
        <f aca="false">'템플릿 문항'!H290</f>
        <v>고</v>
      </c>
      <c r="D291" s="20"/>
      <c r="E291" s="20"/>
      <c r="F291" s="21"/>
      <c r="G291" s="21"/>
      <c r="H291" s="21"/>
      <c r="I291" s="21" t="n">
        <v>5</v>
      </c>
      <c r="J291" s="20"/>
      <c r="K291" s="10" t="str">
        <f aca="false">IF(OR(D291="",E291=""),"",IF(AND(D291="적합",E291="적합"),"통과","미달"))</f>
        <v/>
      </c>
      <c r="L291" s="10" t="str">
        <f aca="false">IF(F291="","",IF(F291&gt;='검증 기준'!$B$5,"통과","미달"))</f>
        <v/>
      </c>
      <c r="M291" s="10" t="str">
        <f aca="false">IF(G291="","",IF(G291&lt;='검증 기준'!$B$6,"통과","불안정"))</f>
        <v/>
      </c>
      <c r="N291" s="10" t="str">
        <f aca="false">IF(OR(H291="",I291=""),"",IF(OR(AND(H291&gt;='검증 기준'!$B$7,H291&lt;=I291-'검증 기준'!$B$8),C291="고"),"통과","예비"))</f>
        <v/>
      </c>
      <c r="O291" s="10" t="str">
        <f aca="false">IF(J291="예","공급 공백",IF(OR(K291="",L291="",M291="",N291=""),"",IF(AND(K291="통과",L291="통과",N291="통과"),IF(M291="통과","패널","패널(불안정)"),IF(N291="예비","예비","제외"))))</f>
        <v/>
      </c>
    </row>
    <row r="292" customFormat="false" ht="15" hidden="false" customHeight="false" outlineLevel="0" collapsed="false">
      <c r="A292" s="10" t="str">
        <f aca="false">'템플릿 문항'!A291</f>
        <v>Q288</v>
      </c>
      <c r="B292" s="10" t="str">
        <f aca="false">'템플릿 문항'!E291</f>
        <v>{지자체} 소상공인 지원 신청 기간이 언제인가요?</v>
      </c>
      <c r="C292" s="10" t="str">
        <f aca="false">'템플릿 문항'!H291</f>
        <v>중</v>
      </c>
      <c r="D292" s="20"/>
      <c r="E292" s="20"/>
      <c r="F292" s="21"/>
      <c r="G292" s="21"/>
      <c r="H292" s="21"/>
      <c r="I292" s="21" t="n">
        <v>5</v>
      </c>
      <c r="J292" s="20"/>
      <c r="K292" s="10" t="str">
        <f aca="false">IF(OR(D292="",E292=""),"",IF(AND(D292="적합",E292="적합"),"통과","미달"))</f>
        <v/>
      </c>
      <c r="L292" s="10" t="str">
        <f aca="false">IF(F292="","",IF(F292&gt;='검증 기준'!$B$5,"통과","미달"))</f>
        <v/>
      </c>
      <c r="M292" s="10" t="str">
        <f aca="false">IF(G292="","",IF(G292&lt;='검증 기준'!$B$6,"통과","불안정"))</f>
        <v/>
      </c>
      <c r="N292" s="10" t="str">
        <f aca="false">IF(OR(H292="",I292=""),"",IF(OR(AND(H292&gt;='검증 기준'!$B$7,H292&lt;=I292-'검증 기준'!$B$8),C292="고"),"통과","예비"))</f>
        <v/>
      </c>
      <c r="O292" s="10" t="str">
        <f aca="false">IF(J292="예","공급 공백",IF(OR(K292="",L292="",M292="",N292=""),"",IF(AND(K292="통과",L292="통과",N292="통과"),IF(M292="통과","패널","패널(불안정)"),IF(N292="예비","예비","제외"))))</f>
        <v/>
      </c>
    </row>
    <row r="293" customFormat="false" ht="15" hidden="false" customHeight="false" outlineLevel="0" collapsed="false">
      <c r="A293" s="10" t="str">
        <f aca="false">'템플릿 문항'!A292</f>
        <v>Q289</v>
      </c>
      <c r="B293" s="10" t="str">
        <f aca="false">'템플릿 문항'!E292</f>
        <v>{지자체} 소상공인 경영 상담은 어디서 받나요?</v>
      </c>
      <c r="C293" s="10" t="str">
        <f aca="false">'템플릿 문항'!H292</f>
        <v>중</v>
      </c>
      <c r="D293" s="20"/>
      <c r="E293" s="20"/>
      <c r="F293" s="21"/>
      <c r="G293" s="21"/>
      <c r="H293" s="21"/>
      <c r="I293" s="21" t="n">
        <v>5</v>
      </c>
      <c r="J293" s="20"/>
      <c r="K293" s="10" t="str">
        <f aca="false">IF(OR(D293="",E293=""),"",IF(AND(D293="적합",E293="적합"),"통과","미달"))</f>
        <v/>
      </c>
      <c r="L293" s="10" t="str">
        <f aca="false">IF(F293="","",IF(F293&gt;='검증 기준'!$B$5,"통과","미달"))</f>
        <v/>
      </c>
      <c r="M293" s="10" t="str">
        <f aca="false">IF(G293="","",IF(G293&lt;='검증 기준'!$B$6,"통과","불안정"))</f>
        <v/>
      </c>
      <c r="N293" s="10" t="str">
        <f aca="false">IF(OR(H293="",I293=""),"",IF(OR(AND(H293&gt;='검증 기준'!$B$7,H293&lt;=I293-'검증 기준'!$B$8),C293="고"),"통과","예비"))</f>
        <v/>
      </c>
      <c r="O293" s="10" t="str">
        <f aca="false">IF(J293="예","공급 공백",IF(OR(K293="",L293="",M293="",N293=""),"",IF(AND(K293="통과",L293="통과",N293="통과"),IF(M293="통과","패널","패널(불안정)"),IF(N293="예비","예비","제외"))))</f>
        <v/>
      </c>
    </row>
    <row r="294" customFormat="false" ht="15" hidden="false" customHeight="false" outlineLevel="0" collapsed="false">
      <c r="A294" s="10" t="str">
        <f aca="false">'템플릿 문항'!A293</f>
        <v>Q290</v>
      </c>
      <c r="B294" s="10" t="str">
        <f aca="false">'템플릿 문항'!E293</f>
        <v>{지자체} 일자리센터 주소가 어디인가요?</v>
      </c>
      <c r="C294" s="10" t="str">
        <f aca="false">'템플릿 문항'!H293</f>
        <v>중</v>
      </c>
      <c r="D294" s="20"/>
      <c r="E294" s="20"/>
      <c r="F294" s="21"/>
      <c r="G294" s="21"/>
      <c r="H294" s="21"/>
      <c r="I294" s="21" t="n">
        <v>5</v>
      </c>
      <c r="J294" s="20"/>
      <c r="K294" s="10" t="str">
        <f aca="false">IF(OR(D294="",E294=""),"",IF(AND(D294="적합",E294="적합"),"통과","미달"))</f>
        <v/>
      </c>
      <c r="L294" s="10" t="str">
        <f aca="false">IF(F294="","",IF(F294&gt;='검증 기준'!$B$5,"통과","미달"))</f>
        <v/>
      </c>
      <c r="M294" s="10" t="str">
        <f aca="false">IF(G294="","",IF(G294&lt;='검증 기준'!$B$6,"통과","불안정"))</f>
        <v/>
      </c>
      <c r="N294" s="10" t="str">
        <f aca="false">IF(OR(H294="",I294=""),"",IF(OR(AND(H294&gt;='검증 기준'!$B$7,H294&lt;=I294-'검증 기준'!$B$8),C294="고"),"통과","예비"))</f>
        <v/>
      </c>
      <c r="O294" s="10" t="str">
        <f aca="false">IF(J294="예","공급 공백",IF(OR(K294="",L294="",M294="",N294=""),"",IF(AND(K294="통과",L294="통과",N294="통과"),IF(M294="통과","패널","패널(불안정)"),IF(N294="예비","예비","제외"))))</f>
        <v/>
      </c>
    </row>
    <row r="295" customFormat="false" ht="15" hidden="false" customHeight="false" outlineLevel="0" collapsed="false">
      <c r="A295" s="10" t="str">
        <f aca="false">'템플릿 문항'!A294</f>
        <v>Q291</v>
      </c>
      <c r="B295" s="10" t="str">
        <f aca="false">'템플릿 문항'!E294</f>
        <v>{지자체} 지역 일자리 박람회가 언제 열리나요?</v>
      </c>
      <c r="C295" s="10" t="str">
        <f aca="false">'템플릿 문항'!H294</f>
        <v>저</v>
      </c>
      <c r="D295" s="20"/>
      <c r="E295" s="20"/>
      <c r="F295" s="21"/>
      <c r="G295" s="21"/>
      <c r="H295" s="21"/>
      <c r="I295" s="21" t="n">
        <v>5</v>
      </c>
      <c r="J295" s="20"/>
      <c r="K295" s="10" t="str">
        <f aca="false">IF(OR(D295="",E295=""),"",IF(AND(D295="적합",E295="적합"),"통과","미달"))</f>
        <v/>
      </c>
      <c r="L295" s="10" t="str">
        <f aca="false">IF(F295="","",IF(F295&gt;='검증 기준'!$B$5,"통과","미달"))</f>
        <v/>
      </c>
      <c r="M295" s="10" t="str">
        <f aca="false">IF(G295="","",IF(G295&lt;='검증 기준'!$B$6,"통과","불안정"))</f>
        <v/>
      </c>
      <c r="N295" s="10" t="str">
        <f aca="false">IF(OR(H295="",I295=""),"",IF(OR(AND(H295&gt;='검증 기준'!$B$7,H295&lt;=I295-'검증 기준'!$B$8),C295="고"),"통과","예비"))</f>
        <v/>
      </c>
      <c r="O295" s="10" t="str">
        <f aca="false">IF(J295="예","공급 공백",IF(OR(K295="",L295="",M295="",N295=""),"",IF(AND(K295="통과",L295="통과",N295="통과"),IF(M295="통과","패널","패널(불안정)"),IF(N295="예비","예비","제외"))))</f>
        <v/>
      </c>
    </row>
    <row r="296" customFormat="false" ht="15" hidden="false" customHeight="false" outlineLevel="0" collapsed="false">
      <c r="A296" s="10" t="str">
        <f aca="false">'템플릿 문항'!A295</f>
        <v>Q292</v>
      </c>
      <c r="B296" s="10" t="str">
        <f aca="false">'템플릿 문항'!E295</f>
        <v>{지자체} {시장} 영업 시간이 언제인가요?</v>
      </c>
      <c r="C296" s="10" t="str">
        <f aca="false">'템플릿 문항'!H295</f>
        <v>저</v>
      </c>
      <c r="D296" s="20"/>
      <c r="E296" s="20"/>
      <c r="F296" s="21"/>
      <c r="G296" s="21"/>
      <c r="H296" s="21"/>
      <c r="I296" s="21" t="n">
        <v>5</v>
      </c>
      <c r="J296" s="20"/>
      <c r="K296" s="10" t="str">
        <f aca="false">IF(OR(D296="",E296=""),"",IF(AND(D296="적합",E296="적합"),"통과","미달"))</f>
        <v/>
      </c>
      <c r="L296" s="10" t="str">
        <f aca="false">IF(F296="","",IF(F296&gt;='검증 기준'!$B$5,"통과","미달"))</f>
        <v/>
      </c>
      <c r="M296" s="10" t="str">
        <f aca="false">IF(G296="","",IF(G296&lt;='검증 기준'!$B$6,"통과","불안정"))</f>
        <v/>
      </c>
      <c r="N296" s="10" t="str">
        <f aca="false">IF(OR(H296="",I296=""),"",IF(OR(AND(H296&gt;='검증 기준'!$B$7,H296&lt;=I296-'검증 기준'!$B$8),C296="고"),"통과","예비"))</f>
        <v/>
      </c>
      <c r="O296" s="10" t="str">
        <f aca="false">IF(J296="예","공급 공백",IF(OR(K296="",L296="",M296="",N296=""),"",IF(AND(K296="통과",L296="통과",N296="통과"),IF(M296="통과","패널","패널(불안정)"),IF(N296="예비","예비","제외"))))</f>
        <v/>
      </c>
    </row>
    <row r="297" customFormat="false" ht="15" hidden="false" customHeight="false" outlineLevel="0" collapsed="false">
      <c r="A297" s="10" t="str">
        <f aca="false">'템플릿 문항'!A296</f>
        <v>Q293</v>
      </c>
      <c r="B297" s="10" t="str">
        <f aca="false">'템플릿 문항'!E296</f>
        <v>{지자체} {시장} 위치가 어디인가요?</v>
      </c>
      <c r="C297" s="10" t="str">
        <f aca="false">'템플릿 문항'!H296</f>
        <v>저</v>
      </c>
      <c r="D297" s="20"/>
      <c r="E297" s="20"/>
      <c r="F297" s="21"/>
      <c r="G297" s="21"/>
      <c r="H297" s="21"/>
      <c r="I297" s="21" t="n">
        <v>5</v>
      </c>
      <c r="J297" s="20"/>
      <c r="K297" s="10" t="str">
        <f aca="false">IF(OR(D297="",E297=""),"",IF(AND(D297="적합",E297="적합"),"통과","미달"))</f>
        <v/>
      </c>
      <c r="L297" s="10" t="str">
        <f aca="false">IF(F297="","",IF(F297&gt;='검증 기준'!$B$5,"통과","미달"))</f>
        <v/>
      </c>
      <c r="M297" s="10" t="str">
        <f aca="false">IF(G297="","",IF(G297&lt;='검증 기준'!$B$6,"통과","불안정"))</f>
        <v/>
      </c>
      <c r="N297" s="10" t="str">
        <f aca="false">IF(OR(H297="",I297=""),"",IF(OR(AND(H297&gt;='검증 기준'!$B$7,H297&lt;=I297-'검증 기준'!$B$8),C297="고"),"통과","예비"))</f>
        <v/>
      </c>
      <c r="O297" s="10" t="str">
        <f aca="false">IF(J297="예","공급 공백",IF(OR(K297="",L297="",M297="",N297=""),"",IF(AND(K297="통과",L297="통과",N297="통과"),IF(M297="통과","패널","패널(불안정)"),IF(N297="예비","예비","제외"))))</f>
        <v/>
      </c>
    </row>
    <row r="298" customFormat="false" ht="15" hidden="false" customHeight="false" outlineLevel="0" collapsed="false">
      <c r="A298" s="10" t="str">
        <f aca="false">'템플릿 문항'!A297</f>
        <v>Q294</v>
      </c>
      <c r="B298" s="10" t="str">
        <f aca="false">'템플릿 문항'!E297</f>
        <v>{지자체} 창업 지원 사업 신청은 어디서 하나요?</v>
      </c>
      <c r="C298" s="10" t="str">
        <f aca="false">'템플릿 문항'!H297</f>
        <v>중</v>
      </c>
      <c r="D298" s="20"/>
      <c r="E298" s="20"/>
      <c r="F298" s="21"/>
      <c r="G298" s="21"/>
      <c r="H298" s="21"/>
      <c r="I298" s="21" t="n">
        <v>5</v>
      </c>
      <c r="J298" s="20"/>
      <c r="K298" s="10" t="str">
        <f aca="false">IF(OR(D298="",E298=""),"",IF(AND(D298="적합",E298="적합"),"통과","미달"))</f>
        <v/>
      </c>
      <c r="L298" s="10" t="str">
        <f aca="false">IF(F298="","",IF(F298&gt;='검증 기준'!$B$5,"통과","미달"))</f>
        <v/>
      </c>
      <c r="M298" s="10" t="str">
        <f aca="false">IF(G298="","",IF(G298&lt;='검증 기준'!$B$6,"통과","불안정"))</f>
        <v/>
      </c>
      <c r="N298" s="10" t="str">
        <f aca="false">IF(OR(H298="",I298=""),"",IF(OR(AND(H298&gt;='검증 기준'!$B$7,H298&lt;=I298-'검증 기준'!$B$8),C298="고"),"통과","예비"))</f>
        <v/>
      </c>
      <c r="O298" s="10" t="str">
        <f aca="false">IF(J298="예","공급 공백",IF(OR(K298="",L298="",M298="",N298=""),"",IF(AND(K298="통과",L298="통과",N298="통과"),IF(M298="통과","패널","패널(불안정)"),IF(N298="예비","예비","제외"))))</f>
        <v/>
      </c>
    </row>
    <row r="299" customFormat="false" ht="15" hidden="false" customHeight="false" outlineLevel="0" collapsed="false">
      <c r="A299" s="10" t="str">
        <f aca="false">'템플릿 문항'!A298</f>
        <v>Q295</v>
      </c>
      <c r="B299" s="10" t="str">
        <f aca="false">'템플릿 문항'!E298</f>
        <v>{지자체} 창업 지원 담당 부서 전화번호가 뭔가요?</v>
      </c>
      <c r="C299" s="10" t="str">
        <f aca="false">'템플릿 문항'!H298</f>
        <v>중</v>
      </c>
      <c r="D299" s="20"/>
      <c r="E299" s="20"/>
      <c r="F299" s="21"/>
      <c r="G299" s="21"/>
      <c r="H299" s="21"/>
      <c r="I299" s="21" t="n">
        <v>5</v>
      </c>
      <c r="J299" s="20"/>
      <c r="K299" s="10" t="str">
        <f aca="false">IF(OR(D299="",E299=""),"",IF(AND(D299="적합",E299="적합"),"통과","미달"))</f>
        <v/>
      </c>
      <c r="L299" s="10" t="str">
        <f aca="false">IF(F299="","",IF(F299&gt;='검증 기준'!$B$5,"통과","미달"))</f>
        <v/>
      </c>
      <c r="M299" s="10" t="str">
        <f aca="false">IF(G299="","",IF(G299&lt;='검증 기준'!$B$6,"통과","불안정"))</f>
        <v/>
      </c>
      <c r="N299" s="10" t="str">
        <f aca="false">IF(OR(H299="",I299=""),"",IF(OR(AND(H299&gt;='검증 기준'!$B$7,H299&lt;=I299-'검증 기준'!$B$8),C299="고"),"통과","예비"))</f>
        <v/>
      </c>
      <c r="O299" s="10" t="str">
        <f aca="false">IF(J299="예","공급 공백",IF(OR(K299="",L299="",M299="",N299=""),"",IF(AND(K299="통과",L299="통과",N299="통과"),IF(M299="통과","패널","패널(불안정)"),IF(N299="예비","예비","제외"))))</f>
        <v/>
      </c>
    </row>
    <row r="300" customFormat="false" ht="15" hidden="false" customHeight="false" outlineLevel="0" collapsed="false">
      <c r="A300" s="10" t="str">
        <f aca="false">'템플릿 문항'!A299</f>
        <v>Q296</v>
      </c>
      <c r="B300" s="10" t="str">
        <f aca="false">'템플릿 문항'!E299</f>
        <v>{지자체} {동}에서 동물등록 대행 기관이 어디인가요?</v>
      </c>
      <c r="C300" s="10" t="str">
        <f aca="false">'템플릿 문항'!H299</f>
        <v>중</v>
      </c>
      <c r="D300" s="20"/>
      <c r="E300" s="20"/>
      <c r="F300" s="21"/>
      <c r="G300" s="21"/>
      <c r="H300" s="21"/>
      <c r="I300" s="21" t="n">
        <v>5</v>
      </c>
      <c r="J300" s="20"/>
      <c r="K300" s="10" t="str">
        <f aca="false">IF(OR(D300="",E300=""),"",IF(AND(D300="적합",E300="적합"),"통과","미달"))</f>
        <v/>
      </c>
      <c r="L300" s="10" t="str">
        <f aca="false">IF(F300="","",IF(F300&gt;='검증 기준'!$B$5,"통과","미달"))</f>
        <v/>
      </c>
      <c r="M300" s="10" t="str">
        <f aca="false">IF(G300="","",IF(G300&lt;='검증 기준'!$B$6,"통과","불안정"))</f>
        <v/>
      </c>
      <c r="N300" s="10" t="str">
        <f aca="false">IF(OR(H300="",I300=""),"",IF(OR(AND(H300&gt;='검증 기준'!$B$7,H300&lt;=I300-'검증 기준'!$B$8),C300="고"),"통과","예비"))</f>
        <v/>
      </c>
      <c r="O300" s="10" t="str">
        <f aca="false">IF(J300="예","공급 공백",IF(OR(K300="",L300="",M300="",N300=""),"",IF(AND(K300="통과",L300="통과",N300="통과"),IF(M300="통과","패널","패널(불안정)"),IF(N300="예비","예비","제외"))))</f>
        <v/>
      </c>
    </row>
    <row r="301" customFormat="false" ht="15" hidden="false" customHeight="false" outlineLevel="0" collapsed="false">
      <c r="A301" s="10" t="str">
        <f aca="false">'템플릿 문항'!A300</f>
        <v>Q297</v>
      </c>
      <c r="B301" s="10" t="str">
        <f aca="false">'템플릿 문항'!E300</f>
        <v>{지자체} 유기동물 입양은 어떻게 하나요?</v>
      </c>
      <c r="C301" s="10" t="str">
        <f aca="false">'템플릿 문항'!H300</f>
        <v>저</v>
      </c>
      <c r="D301" s="20"/>
      <c r="E301" s="20"/>
      <c r="F301" s="21"/>
      <c r="G301" s="21"/>
      <c r="H301" s="21"/>
      <c r="I301" s="21" t="n">
        <v>5</v>
      </c>
      <c r="J301" s="20"/>
      <c r="K301" s="10" t="str">
        <f aca="false">IF(OR(D301="",E301=""),"",IF(AND(D301="적합",E301="적합"),"통과","미달"))</f>
        <v/>
      </c>
      <c r="L301" s="10" t="str">
        <f aca="false">IF(F301="","",IF(F301&gt;='검증 기준'!$B$5,"통과","미달"))</f>
        <v/>
      </c>
      <c r="M301" s="10" t="str">
        <f aca="false">IF(G301="","",IF(G301&lt;='검증 기준'!$B$6,"통과","불안정"))</f>
        <v/>
      </c>
      <c r="N301" s="10" t="str">
        <f aca="false">IF(OR(H301="",I301=""),"",IF(OR(AND(H301&gt;='검증 기준'!$B$7,H301&lt;=I301-'검증 기준'!$B$8),C301="고"),"통과","예비"))</f>
        <v/>
      </c>
      <c r="O301" s="10" t="str">
        <f aca="false">IF(J301="예","공급 공백",IF(OR(K301="",L301="",M301="",N301=""),"",IF(AND(K301="통과",L301="통과",N301="통과"),IF(M301="통과","패널","패널(불안정)"),IF(N301="예비","예비","제외"))))</f>
        <v/>
      </c>
    </row>
    <row r="302" customFormat="false" ht="15" hidden="false" customHeight="false" outlineLevel="0" collapsed="false">
      <c r="A302" s="10" t="str">
        <f aca="false">'템플릿 문항'!A301</f>
        <v>Q298</v>
      </c>
      <c r="B302" s="10" t="str">
        <f aca="false">'템플릿 문항'!E301</f>
        <v>{지자체} {시설고장} 신고 처리 기간이 며칠인가요?</v>
      </c>
      <c r="C302" s="10" t="str">
        <f aca="false">'템플릿 문항'!H301</f>
        <v>중</v>
      </c>
      <c r="D302" s="20"/>
      <c r="E302" s="20"/>
      <c r="F302" s="21"/>
      <c r="G302" s="21"/>
      <c r="H302" s="21"/>
      <c r="I302" s="21" t="n">
        <v>5</v>
      </c>
      <c r="J302" s="20"/>
      <c r="K302" s="10" t="str">
        <f aca="false">IF(OR(D302="",E302=""),"",IF(AND(D302="적합",E302="적합"),"통과","미달"))</f>
        <v/>
      </c>
      <c r="L302" s="10" t="str">
        <f aca="false">IF(F302="","",IF(F302&gt;='검증 기준'!$B$5,"통과","미달"))</f>
        <v/>
      </c>
      <c r="M302" s="10" t="str">
        <f aca="false">IF(G302="","",IF(G302&lt;='검증 기준'!$B$6,"통과","불안정"))</f>
        <v/>
      </c>
      <c r="N302" s="10" t="str">
        <f aca="false">IF(OR(H302="",I302=""),"",IF(OR(AND(H302&gt;='검증 기준'!$B$7,H302&lt;=I302-'검증 기준'!$B$8),C302="고"),"통과","예비"))</f>
        <v/>
      </c>
      <c r="O302" s="10" t="str">
        <f aca="false">IF(J302="예","공급 공백",IF(OR(K302="",L302="",M302="",N302=""),"",IF(AND(K302="통과",L302="통과",N302="통과"),IF(M302="통과","패널","패널(불안정)"),IF(N302="예비","예비","제외"))))</f>
        <v/>
      </c>
    </row>
    <row r="303" customFormat="false" ht="15" hidden="false" customHeight="false" outlineLevel="0" collapsed="false">
      <c r="A303" s="10" t="str">
        <f aca="false">'템플릿 문항'!A302</f>
        <v>Q299</v>
      </c>
      <c r="B303" s="10" t="str">
        <f aca="false">'템플릿 문항'!E302</f>
        <v>{지자체} 도로 담당 부서 전화번호가 뭔가요?</v>
      </c>
      <c r="C303" s="10" t="str">
        <f aca="false">'템플릿 문항'!H302</f>
        <v>중</v>
      </c>
      <c r="D303" s="20"/>
      <c r="E303" s="20"/>
      <c r="F303" s="21"/>
      <c r="G303" s="21"/>
      <c r="H303" s="21"/>
      <c r="I303" s="21" t="n">
        <v>5</v>
      </c>
      <c r="J303" s="20"/>
      <c r="K303" s="10" t="str">
        <f aca="false">IF(OR(D303="",E303=""),"",IF(AND(D303="적합",E303="적합"),"통과","미달"))</f>
        <v/>
      </c>
      <c r="L303" s="10" t="str">
        <f aca="false">IF(F303="","",IF(F303&gt;='검증 기준'!$B$5,"통과","미달"))</f>
        <v/>
      </c>
      <c r="M303" s="10" t="str">
        <f aca="false">IF(G303="","",IF(G303&lt;='검증 기준'!$B$6,"통과","불안정"))</f>
        <v/>
      </c>
      <c r="N303" s="10" t="str">
        <f aca="false">IF(OR(H303="",I303=""),"",IF(OR(AND(H303&gt;='검증 기준'!$B$7,H303&lt;=I303-'검증 기준'!$B$8),C303="고"),"통과","예비"))</f>
        <v/>
      </c>
      <c r="O303" s="10" t="str">
        <f aca="false">IF(J303="예","공급 공백",IF(OR(K303="",L303="",M303="",N303=""),"",IF(AND(K303="통과",L303="통과",N303="통과"),IF(M303="통과","패널","패널(불안정)"),IF(N303="예비","예비","제외"))))</f>
        <v/>
      </c>
    </row>
    <row r="304" customFormat="false" ht="15" hidden="false" customHeight="false" outlineLevel="0" collapsed="false">
      <c r="A304" s="10" t="str">
        <f aca="false">'템플릿 문항'!A303</f>
        <v>Q300</v>
      </c>
      <c r="B304" s="10" t="str">
        <f aca="false">'템플릿 문항'!E303</f>
        <v>{지자체} {해충} 신고는 어디에 하나요?</v>
      </c>
      <c r="C304" s="10" t="str">
        <f aca="false">'템플릿 문항'!H303</f>
        <v>중</v>
      </c>
      <c r="D304" s="20"/>
      <c r="E304" s="20"/>
      <c r="F304" s="21"/>
      <c r="G304" s="21"/>
      <c r="H304" s="21"/>
      <c r="I304" s="21" t="n">
        <v>5</v>
      </c>
      <c r="J304" s="20"/>
      <c r="K304" s="10" t="str">
        <f aca="false">IF(OR(D304="",E304=""),"",IF(AND(D304="적합",E304="적합"),"통과","미달"))</f>
        <v/>
      </c>
      <c r="L304" s="10" t="str">
        <f aca="false">IF(F304="","",IF(F304&gt;='검증 기준'!$B$5,"통과","미달"))</f>
        <v/>
      </c>
      <c r="M304" s="10" t="str">
        <f aca="false">IF(G304="","",IF(G304&lt;='검증 기준'!$B$6,"통과","불안정"))</f>
        <v/>
      </c>
      <c r="N304" s="10" t="str">
        <f aca="false">IF(OR(H304="",I304=""),"",IF(OR(AND(H304&gt;='검증 기준'!$B$7,H304&lt;=I304-'검증 기준'!$B$8),C304="고"),"통과","예비"))</f>
        <v/>
      </c>
      <c r="O304" s="10" t="str">
        <f aca="false">IF(J304="예","공급 공백",IF(OR(K304="",L304="",M304="",N304=""),"",IF(AND(K304="통과",L304="통과",N304="통과"),IF(M304="통과","패널","패널(불안정)"),IF(N304="예비","예비","제외"))))</f>
        <v/>
      </c>
    </row>
    <row r="305" customFormat="false" ht="15" hidden="false" customHeight="false" outlineLevel="0" collapsed="false">
      <c r="A305" s="10" t="str">
        <f aca="false">'템플릿 문항'!A304</f>
        <v>Q301</v>
      </c>
      <c r="B305" s="10" t="str">
        <f aca="false">'템플릿 문항'!E304</f>
        <v>{지자체} 벌집 제거 비용이 있나요?</v>
      </c>
      <c r="C305" s="10" t="str">
        <f aca="false">'템플릿 문항'!H304</f>
        <v>중</v>
      </c>
      <c r="D305" s="20"/>
      <c r="E305" s="20"/>
      <c r="F305" s="21"/>
      <c r="G305" s="21"/>
      <c r="H305" s="21"/>
      <c r="I305" s="21" t="n">
        <v>5</v>
      </c>
      <c r="J305" s="20"/>
      <c r="K305" s="10" t="str">
        <f aca="false">IF(OR(D305="",E305=""),"",IF(AND(D305="적합",E305="적합"),"통과","미달"))</f>
        <v/>
      </c>
      <c r="L305" s="10" t="str">
        <f aca="false">IF(F305="","",IF(F305&gt;='검증 기준'!$B$5,"통과","미달"))</f>
        <v/>
      </c>
      <c r="M305" s="10" t="str">
        <f aca="false">IF(G305="","",IF(G305&lt;='검증 기준'!$B$6,"통과","불안정"))</f>
        <v/>
      </c>
      <c r="N305" s="10" t="str">
        <f aca="false">IF(OR(H305="",I305=""),"",IF(OR(AND(H305&gt;='검증 기준'!$B$7,H305&lt;=I305-'검증 기준'!$B$8),C305="고"),"통과","예비"))</f>
        <v/>
      </c>
      <c r="O305" s="10" t="str">
        <f aca="false">IF(J305="예","공급 공백",IF(OR(K305="",L305="",M305="",N305=""),"",IF(AND(K305="통과",L305="통과",N305="통과"),IF(M305="통과","패널","패널(불안정)"),IF(N305="예비","예비","제외"))))</f>
        <v/>
      </c>
    </row>
    <row r="306" customFormat="false" ht="15" hidden="false" customHeight="false" outlineLevel="0" collapsed="false">
      <c r="A306" s="10" t="str">
        <f aca="false">'템플릿 문항'!A305</f>
        <v>Q302</v>
      </c>
      <c r="B306" s="10" t="str">
        <f aca="false">'템플릿 문항'!E305</f>
        <v>{지자체} CCTV 설치 요청은 어떻게 하나요?</v>
      </c>
      <c r="C306" s="10" t="str">
        <f aca="false">'템플릿 문항'!H305</f>
        <v>저</v>
      </c>
      <c r="D306" s="20"/>
      <c r="E306" s="20"/>
      <c r="F306" s="21"/>
      <c r="G306" s="21"/>
      <c r="H306" s="21"/>
      <c r="I306" s="21" t="n">
        <v>5</v>
      </c>
      <c r="J306" s="20"/>
      <c r="K306" s="10" t="str">
        <f aca="false">IF(OR(D306="",E306=""),"",IF(AND(D306="적합",E306="적합"),"통과","미달"))</f>
        <v/>
      </c>
      <c r="L306" s="10" t="str">
        <f aca="false">IF(F306="","",IF(F306&gt;='검증 기준'!$B$5,"통과","미달"))</f>
        <v/>
      </c>
      <c r="M306" s="10" t="str">
        <f aca="false">IF(G306="","",IF(G306&lt;='검증 기준'!$B$6,"통과","불안정"))</f>
        <v/>
      </c>
      <c r="N306" s="10" t="str">
        <f aca="false">IF(OR(H306="",I306=""),"",IF(OR(AND(H306&gt;='검증 기준'!$B$7,H306&lt;=I306-'검증 기준'!$B$8),C306="고"),"통과","예비"))</f>
        <v/>
      </c>
      <c r="O306" s="10" t="str">
        <f aca="false">IF(J306="예","공급 공백",IF(OR(K306="",L306="",M306="",N306=""),"",IF(AND(K306="통과",L306="통과",N306="통과"),IF(M306="통과","패널","패널(불안정)"),IF(N306="예비","예비","제외"))))</f>
        <v/>
      </c>
    </row>
    <row r="307" customFormat="false" ht="15" hidden="false" customHeight="false" outlineLevel="0" collapsed="false">
      <c r="A307" s="10" t="str">
        <f aca="false">'템플릿 문항'!A306</f>
        <v>Q303</v>
      </c>
      <c r="B307" s="10" t="str">
        <f aca="false">'템플릿 문항'!E306</f>
        <v>{지자체} 공공 와이파이 고장 신고는 어디에 하나요?</v>
      </c>
      <c r="C307" s="10" t="str">
        <f aca="false">'템플릿 문항'!H306</f>
        <v>저</v>
      </c>
      <c r="D307" s="20"/>
      <c r="E307" s="20"/>
      <c r="F307" s="21"/>
      <c r="G307" s="21"/>
      <c r="H307" s="21"/>
      <c r="I307" s="21" t="n">
        <v>5</v>
      </c>
      <c r="J307" s="20"/>
      <c r="K307" s="10" t="str">
        <f aca="false">IF(OR(D307="",E307=""),"",IF(AND(D307="적합",E307="적합"),"통과","미달"))</f>
        <v/>
      </c>
      <c r="L307" s="10" t="str">
        <f aca="false">IF(F307="","",IF(F307&gt;='검증 기준'!$B$5,"통과","미달"))</f>
        <v/>
      </c>
      <c r="M307" s="10" t="str">
        <f aca="false">IF(G307="","",IF(G307&lt;='검증 기준'!$B$6,"통과","불안정"))</f>
        <v/>
      </c>
      <c r="N307" s="10" t="str">
        <f aca="false">IF(OR(H307="",I307=""),"",IF(OR(AND(H307&gt;='검증 기준'!$B$7,H307&lt;=I307-'검증 기준'!$B$8),C307="고"),"통과","예비"))</f>
        <v/>
      </c>
      <c r="O307" s="10" t="str">
        <f aca="false">IF(J307="예","공급 공백",IF(OR(K307="",L307="",M307="",N307=""),"",IF(AND(K307="통과",L307="통과",N307="통과"),IF(M307="통과","패널","패널(불안정)"),IF(N307="예비","예비","제외"))))</f>
        <v/>
      </c>
    </row>
    <row r="308" customFormat="false" ht="15" hidden="false" customHeight="false" outlineLevel="0" collapsed="false">
      <c r="A308" s="10" t="str">
        <f aca="false">'템플릿 문항'!A307</f>
        <v>Q304</v>
      </c>
      <c r="B308" s="10" t="str">
        <f aca="false">'템플릿 문항'!E307</f>
        <v>{지자체} 보건소 {검사} 검사 예약은 어떻게 하나요?</v>
      </c>
      <c r="C308" s="10" t="str">
        <f aca="false">'템플릿 문항'!H307</f>
        <v>중</v>
      </c>
      <c r="D308" s="20"/>
      <c r="E308" s="20"/>
      <c r="F308" s="21"/>
      <c r="G308" s="21"/>
      <c r="H308" s="21"/>
      <c r="I308" s="21" t="n">
        <v>5</v>
      </c>
      <c r="J308" s="20"/>
      <c r="K308" s="10" t="str">
        <f aca="false">IF(OR(D308="",E308=""),"",IF(AND(D308="적합",E308="적합"),"통과","미달"))</f>
        <v/>
      </c>
      <c r="L308" s="10" t="str">
        <f aca="false">IF(F308="","",IF(F308&gt;='검증 기준'!$B$5,"통과","미달"))</f>
        <v/>
      </c>
      <c r="M308" s="10" t="str">
        <f aca="false">IF(G308="","",IF(G308&lt;='검증 기준'!$B$6,"통과","불안정"))</f>
        <v/>
      </c>
      <c r="N308" s="10" t="str">
        <f aca="false">IF(OR(H308="",I308=""),"",IF(OR(AND(H308&gt;='검증 기준'!$B$7,H308&lt;=I308-'검증 기준'!$B$8),C308="고"),"통과","예비"))</f>
        <v/>
      </c>
      <c r="O308" s="10" t="str">
        <f aca="false">IF(J308="예","공급 공백",IF(OR(K308="",L308="",M308="",N308=""),"",IF(AND(K308="통과",L308="통과",N308="통과"),IF(M308="통과","패널","패널(불안정)"),IF(N308="예비","예비","제외"))))</f>
        <v/>
      </c>
    </row>
    <row r="309" customFormat="false" ht="15" hidden="false" customHeight="false" outlineLevel="0" collapsed="false">
      <c r="A309" s="10" t="str">
        <f aca="false">'템플릿 문항'!A308</f>
        <v>Q305</v>
      </c>
      <c r="B309" s="10" t="str">
        <f aca="false">'템플릿 문항'!E308</f>
        <v>{지자체} {백신} 무료 접종 기간이 언제까지인가요?</v>
      </c>
      <c r="C309" s="10" t="str">
        <f aca="false">'템플릿 문항'!H308</f>
        <v>고</v>
      </c>
      <c r="D309" s="20"/>
      <c r="E309" s="20"/>
      <c r="F309" s="21"/>
      <c r="G309" s="21"/>
      <c r="H309" s="21"/>
      <c r="I309" s="21" t="n">
        <v>5</v>
      </c>
      <c r="J309" s="20"/>
      <c r="K309" s="10" t="str">
        <f aca="false">IF(OR(D309="",E309=""),"",IF(AND(D309="적합",E309="적합"),"통과","미달"))</f>
        <v/>
      </c>
      <c r="L309" s="10" t="str">
        <f aca="false">IF(F309="","",IF(F309&gt;='검증 기준'!$B$5,"통과","미달"))</f>
        <v/>
      </c>
      <c r="M309" s="10" t="str">
        <f aca="false">IF(G309="","",IF(G309&lt;='검증 기준'!$B$6,"통과","불안정"))</f>
        <v/>
      </c>
      <c r="N309" s="10" t="str">
        <f aca="false">IF(OR(H309="",I309=""),"",IF(OR(AND(H309&gt;='검증 기준'!$B$7,H309&lt;=I309-'검증 기준'!$B$8),C309="고"),"통과","예비"))</f>
        <v/>
      </c>
      <c r="O309" s="10" t="str">
        <f aca="false">IF(J309="예","공급 공백",IF(OR(K309="",L309="",M309="",N309=""),"",IF(AND(K309="통과",L309="통과",N309="통과"),IF(M309="통과","패널","패널(불안정)"),IF(N309="예비","예비","제외"))))</f>
        <v/>
      </c>
    </row>
    <row r="310" customFormat="false" ht="15" hidden="false" customHeight="false" outlineLevel="0" collapsed="false">
      <c r="A310" s="10" t="str">
        <f aca="false">'템플릿 문항'!A309</f>
        <v>Q306</v>
      </c>
      <c r="B310" s="10" t="str">
        <f aca="false">'템플릿 문항'!E309</f>
        <v>{지자체} {수당} 신청 자격이 뭔가요?</v>
      </c>
      <c r="C310" s="10" t="str">
        <f aca="false">'템플릿 문항'!H309</f>
        <v>고</v>
      </c>
      <c r="D310" s="20"/>
      <c r="E310" s="20"/>
      <c r="F310" s="21"/>
      <c r="G310" s="21"/>
      <c r="H310" s="21"/>
      <c r="I310" s="21" t="n">
        <v>5</v>
      </c>
      <c r="J310" s="20"/>
      <c r="K310" s="10" t="str">
        <f aca="false">IF(OR(D310="",E310=""),"",IF(AND(D310="적합",E310="적합"),"통과","미달"))</f>
        <v/>
      </c>
      <c r="L310" s="10" t="str">
        <f aca="false">IF(F310="","",IF(F310&gt;='검증 기준'!$B$5,"통과","미달"))</f>
        <v/>
      </c>
      <c r="M310" s="10" t="str">
        <f aca="false">IF(G310="","",IF(G310&lt;='검증 기준'!$B$6,"통과","불안정"))</f>
        <v/>
      </c>
      <c r="N310" s="10" t="str">
        <f aca="false">IF(OR(H310="",I310=""),"",IF(OR(AND(H310&gt;='검증 기준'!$B$7,H310&lt;=I310-'검증 기준'!$B$8),C310="고"),"통과","예비"))</f>
        <v/>
      </c>
      <c r="O310" s="10" t="str">
        <f aca="false">IF(J310="예","공급 공백",IF(OR(K310="",L310="",M310="",N310=""),"",IF(AND(K310="통과",L310="통과",N310="통과"),IF(M310="통과","패널","패널(불안정)"),IF(N310="예비","예비","제외"))))</f>
        <v/>
      </c>
    </row>
    <row r="311" customFormat="false" ht="15" hidden="false" customHeight="false" outlineLevel="0" collapsed="false">
      <c r="A311" s="10" t="str">
        <f aca="false">'템플릿 문항'!A310</f>
        <v>Q307</v>
      </c>
      <c r="B311" s="10" t="str">
        <f aca="false">'템플릿 문항'!E310</f>
        <v>{지자체} {세목} 카드 납부 가능한가요?</v>
      </c>
      <c r="C311" s="10" t="str">
        <f aca="false">'템플릿 문항'!H310</f>
        <v>중</v>
      </c>
      <c r="D311" s="20"/>
      <c r="E311" s="20"/>
      <c r="F311" s="21"/>
      <c r="G311" s="21"/>
      <c r="H311" s="21"/>
      <c r="I311" s="21" t="n">
        <v>5</v>
      </c>
      <c r="J311" s="20"/>
      <c r="K311" s="10" t="str">
        <f aca="false">IF(OR(D311="",E311=""),"",IF(AND(D311="적합",E311="적합"),"통과","미달"))</f>
        <v/>
      </c>
      <c r="L311" s="10" t="str">
        <f aca="false">IF(F311="","",IF(F311&gt;='검증 기준'!$B$5,"통과","미달"))</f>
        <v/>
      </c>
      <c r="M311" s="10" t="str">
        <f aca="false">IF(G311="","",IF(G311&lt;='검증 기준'!$B$6,"통과","불안정"))</f>
        <v/>
      </c>
      <c r="N311" s="10" t="str">
        <f aca="false">IF(OR(H311="",I311=""),"",IF(OR(AND(H311&gt;='검증 기준'!$B$7,H311&lt;=I311-'검증 기준'!$B$8),C311="고"),"통과","예비"))</f>
        <v/>
      </c>
      <c r="O311" s="10" t="str">
        <f aca="false">IF(J311="예","공급 공백",IF(OR(K311="",L311="",M311="",N311=""),"",IF(AND(K311="통과",L311="통과",N311="통과"),IF(M311="통과","패널","패널(불안정)"),IF(N311="예비","예비","제외"))))</f>
        <v/>
      </c>
    </row>
    <row r="312" customFormat="false" ht="15" hidden="false" customHeight="false" outlineLevel="0" collapsed="false">
      <c r="A312" s="10" t="str">
        <f aca="false">'템플릿 문항'!A311</f>
        <v>Q308</v>
      </c>
      <c r="B312" s="10" t="str">
        <f aca="false">'템플릿 문항'!E311</f>
        <v>{지자체} {신고종류} 신고 전화번호가 뭔가요?</v>
      </c>
      <c r="C312" s="10" t="str">
        <f aca="false">'템플릿 문항'!H311</f>
        <v>중</v>
      </c>
      <c r="D312" s="20"/>
      <c r="E312" s="20"/>
      <c r="F312" s="21"/>
      <c r="G312" s="21"/>
      <c r="H312" s="21"/>
      <c r="I312" s="21" t="n">
        <v>5</v>
      </c>
      <c r="J312" s="20"/>
      <c r="K312" s="10" t="str">
        <f aca="false">IF(OR(D312="",E312=""),"",IF(AND(D312="적합",E312="적합"),"통과","미달"))</f>
        <v/>
      </c>
      <c r="L312" s="10" t="str">
        <f aca="false">IF(F312="","",IF(F312&gt;='검증 기준'!$B$5,"통과","미달"))</f>
        <v/>
      </c>
      <c r="M312" s="10" t="str">
        <f aca="false">IF(G312="","",IF(G312&lt;='검증 기준'!$B$6,"통과","불안정"))</f>
        <v/>
      </c>
      <c r="N312" s="10" t="str">
        <f aca="false">IF(OR(H312="",I312=""),"",IF(OR(AND(H312&gt;='검증 기준'!$B$7,H312&lt;=I312-'검증 기준'!$B$8),C312="고"),"통과","예비"))</f>
        <v/>
      </c>
      <c r="O312" s="10" t="str">
        <f aca="false">IF(J312="예","공급 공백",IF(OR(K312="",L312="",M312="",N312=""),"",IF(AND(K312="통과",L312="통과",N312="통과"),IF(M312="통과","패널","패널(불안정)"),IF(N312="예비","예비","제외"))))</f>
        <v/>
      </c>
    </row>
    <row r="313" customFormat="false" ht="15" hidden="false" customHeight="false" outlineLevel="0" collapsed="false">
      <c r="A313" s="10" t="str">
        <f aca="false">'템플릿 문항'!A312</f>
        <v>Q309</v>
      </c>
      <c r="B313" s="10" t="str">
        <f aca="false">'템플릿 문항'!E312</f>
        <v>{지자체} 공영주차장 {감면대상} 할인율이 얼마인가요?</v>
      </c>
      <c r="C313" s="10" t="str">
        <f aca="false">'템플릿 문항'!H312</f>
        <v>저</v>
      </c>
      <c r="D313" s="20"/>
      <c r="E313" s="20"/>
      <c r="F313" s="21"/>
      <c r="G313" s="21"/>
      <c r="H313" s="21"/>
      <c r="I313" s="21" t="n">
        <v>5</v>
      </c>
      <c r="J313" s="20"/>
      <c r="K313" s="10" t="str">
        <f aca="false">IF(OR(D313="",E313=""),"",IF(AND(D313="적합",E313="적합"),"통과","미달"))</f>
        <v/>
      </c>
      <c r="L313" s="10" t="str">
        <f aca="false">IF(F313="","",IF(F313&gt;='검증 기준'!$B$5,"통과","미달"))</f>
        <v/>
      </c>
      <c r="M313" s="10" t="str">
        <f aca="false">IF(G313="","",IF(G313&lt;='검증 기준'!$B$6,"통과","불안정"))</f>
        <v/>
      </c>
      <c r="N313" s="10" t="str">
        <f aca="false">IF(OR(H313="",I313=""),"",IF(OR(AND(H313&gt;='검증 기준'!$B$7,H313&lt;=I313-'검증 기준'!$B$8),C313="고"),"통과","예비"))</f>
        <v/>
      </c>
      <c r="O313" s="10" t="str">
        <f aca="false">IF(J313="예","공급 공백",IF(OR(K313="",L313="",M313="",N313=""),"",IF(AND(K313="통과",L313="통과",N313="통과"),IF(M313="통과","패널","패널(불안정)"),IF(N313="예비","예비","제외"))))</f>
        <v/>
      </c>
    </row>
    <row r="314" customFormat="false" ht="15" hidden="false" customHeight="false" outlineLevel="0" collapsed="false">
      <c r="A314" s="10" t="str">
        <f aca="false">'템플릿 문항'!A313</f>
        <v>Q310</v>
      </c>
      <c r="B314" s="10" t="str">
        <f aca="false">'템플릿 문항'!E313</f>
        <v>{지자체} {구역} 주정차 단속 시간이 언제인가요?</v>
      </c>
      <c r="C314" s="10" t="str">
        <f aca="false">'템플릿 문항'!H313</f>
        <v>고</v>
      </c>
      <c r="D314" s="20"/>
      <c r="E314" s="20"/>
      <c r="F314" s="21"/>
      <c r="G314" s="21"/>
      <c r="H314" s="21"/>
      <c r="I314" s="21" t="n">
        <v>5</v>
      </c>
      <c r="J314" s="20"/>
      <c r="K314" s="10" t="str">
        <f aca="false">IF(OR(D314="",E314=""),"",IF(AND(D314="적합",E314="적합"),"통과","미달"))</f>
        <v/>
      </c>
      <c r="L314" s="10" t="str">
        <f aca="false">IF(F314="","",IF(F314&gt;='검증 기준'!$B$5,"통과","미달"))</f>
        <v/>
      </c>
      <c r="M314" s="10" t="str">
        <f aca="false">IF(G314="","",IF(G314&lt;='검증 기준'!$B$6,"통과","불안정"))</f>
        <v/>
      </c>
      <c r="N314" s="10" t="str">
        <f aca="false">IF(OR(H314="",I314=""),"",IF(OR(AND(H314&gt;='검증 기준'!$B$7,H314&lt;=I314-'검증 기준'!$B$8),C314="고"),"통과","예비"))</f>
        <v/>
      </c>
      <c r="O314" s="10" t="str">
        <f aca="false">IF(J314="예","공급 공백",IF(OR(K314="",L314="",M314="",N314=""),"",IF(AND(K314="통과",L314="통과",N314="통과"),IF(M314="통과","패널","패널(불안정)"),IF(N314="예비","예비","제외"))))</f>
        <v/>
      </c>
    </row>
    <row r="315" customFormat="false" ht="15" hidden="false" customHeight="false" outlineLevel="0" collapsed="false">
      <c r="A315" s="10" t="str">
        <f aca="false">'템플릿 문항'!A314</f>
        <v>Q311</v>
      </c>
      <c r="B315" s="10" t="str">
        <f aca="false">'템플릿 문항'!E314</f>
        <v>{지자체} {요일}에 진료하는 병원은 어디인가요?</v>
      </c>
      <c r="C315" s="10" t="str">
        <f aca="false">'템플릿 문항'!H314</f>
        <v>고</v>
      </c>
      <c r="D315" s="20"/>
      <c r="E315" s="20"/>
      <c r="F315" s="21"/>
      <c r="G315" s="21"/>
      <c r="H315" s="21"/>
      <c r="I315" s="21" t="n">
        <v>5</v>
      </c>
      <c r="J315" s="20"/>
      <c r="K315" s="10" t="str">
        <f aca="false">IF(OR(D315="",E315=""),"",IF(AND(D315="적합",E315="적합"),"통과","미달"))</f>
        <v/>
      </c>
      <c r="L315" s="10" t="str">
        <f aca="false">IF(F315="","",IF(F315&gt;='검증 기준'!$B$5,"통과","미달"))</f>
        <v/>
      </c>
      <c r="M315" s="10" t="str">
        <f aca="false">IF(G315="","",IF(G315&lt;='검증 기준'!$B$6,"통과","불안정"))</f>
        <v/>
      </c>
      <c r="N315" s="10" t="str">
        <f aca="false">IF(OR(H315="",I315=""),"",IF(OR(AND(H315&gt;='검증 기준'!$B$7,H315&lt;=I315-'검증 기준'!$B$8),C315="고"),"통과","예비"))</f>
        <v/>
      </c>
      <c r="O315" s="10" t="str">
        <f aca="false">IF(J315="예","공급 공백",IF(OR(K315="",L315="",M315="",N315=""),"",IF(AND(K315="통과",L315="통과",N315="통과"),IF(M315="통과","패널","패널(불안정)"),IF(N315="예비","예비","제외"))))</f>
        <v/>
      </c>
    </row>
    <row r="316" customFormat="false" ht="15" hidden="false" customHeight="false" outlineLevel="0" collapsed="false">
      <c r="A316" s="10" t="str">
        <f aca="false">'템플릿 문항'!A315</f>
        <v>Q312</v>
      </c>
      <c r="B316" s="10" t="str">
        <f aca="false">'템플릿 문항'!E315</f>
        <v>{지자체} {용도} 수도 요금 감면 조건이 뭔가요?</v>
      </c>
      <c r="C316" s="10" t="str">
        <f aca="false">'템플릿 문항'!H315</f>
        <v>중</v>
      </c>
      <c r="D316" s="20"/>
      <c r="E316" s="20"/>
      <c r="F316" s="21"/>
      <c r="G316" s="21"/>
      <c r="H316" s="21"/>
      <c r="I316" s="21" t="n">
        <v>5</v>
      </c>
      <c r="J316" s="20"/>
      <c r="K316" s="10" t="str">
        <f aca="false">IF(OR(D316="",E316=""),"",IF(AND(D316="적합",E316="적합"),"통과","미달"))</f>
        <v/>
      </c>
      <c r="L316" s="10" t="str">
        <f aca="false">IF(F316="","",IF(F316&gt;='검증 기준'!$B$5,"통과","미달"))</f>
        <v/>
      </c>
      <c r="M316" s="10" t="str">
        <f aca="false">IF(G316="","",IF(G316&lt;='검증 기준'!$B$6,"통과","불안정"))</f>
        <v/>
      </c>
      <c r="N316" s="10" t="str">
        <f aca="false">IF(OR(H316="",I316=""),"",IF(OR(AND(H316&gt;='검증 기준'!$B$7,H316&lt;=I316-'검증 기준'!$B$8),C316="고"),"통과","예비"))</f>
        <v/>
      </c>
      <c r="O316" s="10" t="str">
        <f aca="false">IF(J316="예","공급 공백",IF(OR(K316="",L316="",M316="",N316=""),"",IF(AND(K316="통과",L316="통과",N316="통과"),IF(M316="통과","패널","패널(불안정)"),IF(N316="예비","예비","제외"))))</f>
        <v/>
      </c>
    </row>
    <row r="317" customFormat="false" ht="15" hidden="false" customHeight="false" outlineLevel="0" collapsed="false">
      <c r="A317" s="10" t="str">
        <f aca="false">'템플릿 문항'!A316</f>
        <v>Q313</v>
      </c>
      <c r="B317" s="10" t="str">
        <f aca="false">'템플릿 문항'!E316</f>
        <v>{지자체} {축제} 주요 프로그램이 뭔가요?</v>
      </c>
      <c r="C317" s="10" t="str">
        <f aca="false">'템플릿 문항'!H316</f>
        <v>저</v>
      </c>
      <c r="D317" s="20"/>
      <c r="E317" s="20"/>
      <c r="F317" s="21"/>
      <c r="G317" s="21"/>
      <c r="H317" s="21"/>
      <c r="I317" s="21" t="n">
        <v>5</v>
      </c>
      <c r="J317" s="20"/>
      <c r="K317" s="10" t="str">
        <f aca="false">IF(OR(D317="",E317=""),"",IF(AND(D317="적합",E317="적합"),"통과","미달"))</f>
        <v/>
      </c>
      <c r="L317" s="10" t="str">
        <f aca="false">IF(F317="","",IF(F317&gt;='검증 기준'!$B$5,"통과","미달"))</f>
        <v/>
      </c>
      <c r="M317" s="10" t="str">
        <f aca="false">IF(G317="","",IF(G317&lt;='검증 기준'!$B$6,"통과","불안정"))</f>
        <v/>
      </c>
      <c r="N317" s="10" t="str">
        <f aca="false">IF(OR(H317="",I317=""),"",IF(OR(AND(H317&gt;='검증 기준'!$B$7,H317&lt;=I317-'검증 기준'!$B$8),C317="고"),"통과","예비"))</f>
        <v/>
      </c>
      <c r="O317" s="10" t="str">
        <f aca="false">IF(J317="예","공급 공백",IF(OR(K317="",L317="",M317="",N317=""),"",IF(AND(K317="통과",L317="통과",N317="통과"),IF(M317="통과","패널","패널(불안정)"),IF(N317="예비","예비","제외"))))</f>
        <v/>
      </c>
    </row>
    <row r="318" customFormat="false" ht="15" hidden="false" customHeight="false" outlineLevel="0" collapsed="false">
      <c r="A318" s="10" t="str">
        <f aca="false">'템플릿 문항'!A317</f>
        <v>Q314</v>
      </c>
      <c r="B318" s="10" t="str">
        <f aca="false">'템플릿 문항'!E317</f>
        <v>{지자체} {시장} 상인회 전화번호가 뭔가요?</v>
      </c>
      <c r="C318" s="10" t="str">
        <f aca="false">'템플릿 문항'!H317</f>
        <v>저</v>
      </c>
      <c r="D318" s="20"/>
      <c r="E318" s="20"/>
      <c r="F318" s="21"/>
      <c r="G318" s="21"/>
      <c r="H318" s="21"/>
      <c r="I318" s="21" t="n">
        <v>5</v>
      </c>
      <c r="J318" s="20"/>
      <c r="K318" s="10" t="str">
        <f aca="false">IF(OR(D318="",E318=""),"",IF(AND(D318="적합",E318="적합"),"통과","미달"))</f>
        <v/>
      </c>
      <c r="L318" s="10" t="str">
        <f aca="false">IF(F318="","",IF(F318&gt;='검증 기준'!$B$5,"통과","미달"))</f>
        <v/>
      </c>
      <c r="M318" s="10" t="str">
        <f aca="false">IF(G318="","",IF(G318&lt;='검증 기준'!$B$6,"통과","불안정"))</f>
        <v/>
      </c>
      <c r="N318" s="10" t="str">
        <f aca="false">IF(OR(H318="",I318=""),"",IF(OR(AND(H318&gt;='검증 기준'!$B$7,H318&lt;=I318-'검증 기준'!$B$8),C318="고"),"통과","예비"))</f>
        <v/>
      </c>
      <c r="O318" s="10" t="str">
        <f aca="false">IF(J318="예","공급 공백",IF(OR(K318="",L318="",M318="",N318=""),"",IF(AND(K318="통과",L318="통과",N318="통과"),IF(M318="통과","패널","패널(불안정)"),IF(N318="예비","예비","제외"))))</f>
        <v/>
      </c>
    </row>
    <row r="319" customFormat="false" ht="15" hidden="false" customHeight="false" outlineLevel="0" collapsed="false">
      <c r="A319" s="10" t="str">
        <f aca="false">'템플릿 문항'!A318</f>
        <v>Q315</v>
      </c>
      <c r="B319" s="10" t="str">
        <f aca="false">'템플릿 문항'!E318</f>
        <v>{지자체}에서 {대형품목} 배출은 어디에 내놓나요?</v>
      </c>
      <c r="C319" s="10" t="str">
        <f aca="false">'템플릿 문항'!H318</f>
        <v>중</v>
      </c>
      <c r="D319" s="20"/>
      <c r="E319" s="20"/>
      <c r="F319" s="21"/>
      <c r="G319" s="21"/>
      <c r="H319" s="21"/>
      <c r="I319" s="21" t="n">
        <v>5</v>
      </c>
      <c r="J319" s="20"/>
      <c r="K319" s="10" t="str">
        <f aca="false">IF(OR(D319="",E319=""),"",IF(AND(D319="적합",E319="적합"),"통과","미달"))</f>
        <v/>
      </c>
      <c r="L319" s="10" t="str">
        <f aca="false">IF(F319="","",IF(F319&gt;='검증 기준'!$B$5,"통과","미달"))</f>
        <v/>
      </c>
      <c r="M319" s="10" t="str">
        <f aca="false">IF(G319="","",IF(G319&lt;='검증 기준'!$B$6,"통과","불안정"))</f>
        <v/>
      </c>
      <c r="N319" s="10" t="str">
        <f aca="false">IF(OR(H319="",I319=""),"",IF(OR(AND(H319&gt;='검증 기준'!$B$7,H319&lt;=I319-'검증 기준'!$B$8),C319="고"),"통과","예비"))</f>
        <v/>
      </c>
      <c r="O319" s="10" t="str">
        <f aca="false">IF(J319="예","공급 공백",IF(OR(K319="",L319="",M319="",N319=""),"",IF(AND(K319="통과",L319="통과",N319="통과"),IF(M319="통과","패널","패널(불안정)"),IF(N319="예비","예비","제외"))))</f>
        <v/>
      </c>
    </row>
    <row r="320" customFormat="false" ht="15" hidden="false" customHeight="false" outlineLevel="0" collapsed="false">
      <c r="A320" s="10" t="str">
        <f aca="false">'템플릿 문항'!A319</f>
        <v>Q316</v>
      </c>
      <c r="B320" s="10" t="str">
        <f aca="false">'템플릿 문항'!E319</f>
        <v>{지자체} 어린이집 입소 대기 순번은 어디서 확인하나요?</v>
      </c>
      <c r="C320" s="10" t="str">
        <f aca="false">'템플릿 문항'!H319</f>
        <v>중</v>
      </c>
      <c r="D320" s="20"/>
      <c r="E320" s="20"/>
      <c r="F320" s="21"/>
      <c r="G320" s="21"/>
      <c r="H320" s="21"/>
      <c r="I320" s="21" t="n">
        <v>5</v>
      </c>
      <c r="J320" s="20"/>
      <c r="K320" s="10" t="str">
        <f aca="false">IF(OR(D320="",E320=""),"",IF(AND(D320="적합",E320="적합"),"통과","미달"))</f>
        <v/>
      </c>
      <c r="L320" s="10" t="str">
        <f aca="false">IF(F320="","",IF(F320&gt;='검증 기준'!$B$5,"통과","미달"))</f>
        <v/>
      </c>
      <c r="M320" s="10" t="str">
        <f aca="false">IF(G320="","",IF(G320&lt;='검증 기준'!$B$6,"통과","불안정"))</f>
        <v/>
      </c>
      <c r="N320" s="10" t="str">
        <f aca="false">IF(OR(H320="",I320=""),"",IF(OR(AND(H320&gt;='검증 기준'!$B$7,H320&lt;=I320-'검증 기준'!$B$8),C320="고"),"통과","예비"))</f>
        <v/>
      </c>
      <c r="O320" s="10" t="str">
        <f aca="false">IF(J320="예","공급 공백",IF(OR(K320="",L320="",M320="",N320=""),"",IF(AND(K320="통과",L320="통과",N320="통과"),IF(M320="통과","패널","패널(불안정)"),IF(N320="예비","예비","제외"))))</f>
        <v/>
      </c>
    </row>
    <row r="321" customFormat="false" ht="15" hidden="false" customHeight="false" outlineLevel="0" collapsed="false">
      <c r="A321" s="10" t="str">
        <f aca="false">'템플릿 문항'!A320</f>
        <v>Q317</v>
      </c>
      <c r="B321" s="10" t="str">
        <f aca="false">'템플릿 문항'!E320</f>
        <v>{지자체} 시간제 보육 운영 기관이 어디인가요?</v>
      </c>
      <c r="C321" s="10" t="str">
        <f aca="false">'템플릿 문항'!H320</f>
        <v>중</v>
      </c>
      <c r="D321" s="20"/>
      <c r="E321" s="20"/>
      <c r="F321" s="21"/>
      <c r="G321" s="21"/>
      <c r="H321" s="21"/>
      <c r="I321" s="21" t="n">
        <v>5</v>
      </c>
      <c r="J321" s="20"/>
      <c r="K321" s="10" t="str">
        <f aca="false">IF(OR(D321="",E321=""),"",IF(AND(D321="적합",E321="적합"),"통과","미달"))</f>
        <v/>
      </c>
      <c r="L321" s="10" t="str">
        <f aca="false">IF(F321="","",IF(F321&gt;='검증 기준'!$B$5,"통과","미달"))</f>
        <v/>
      </c>
      <c r="M321" s="10" t="str">
        <f aca="false">IF(G321="","",IF(G321&lt;='검증 기준'!$B$6,"통과","불안정"))</f>
        <v/>
      </c>
      <c r="N321" s="10" t="str">
        <f aca="false">IF(OR(H321="",I321=""),"",IF(OR(AND(H321&gt;='검증 기준'!$B$7,H321&lt;=I321-'검증 기준'!$B$8),C321="고"),"통과","예비"))</f>
        <v/>
      </c>
      <c r="O321" s="10" t="str">
        <f aca="false">IF(J321="예","공급 공백",IF(OR(K321="",L321="",M321="",N321=""),"",IF(AND(K321="통과",L321="통과",N321="통과"),IF(M321="통과","패널","패널(불안정)"),IF(N321="예비","예비","제외"))))</f>
        <v/>
      </c>
    </row>
    <row r="322" customFormat="false" ht="15" hidden="false" customHeight="false" outlineLevel="0" collapsed="false">
      <c r="A322" s="10" t="str">
        <f aca="false">'템플릿 문항'!A321</f>
        <v>Q318</v>
      </c>
      <c r="B322" s="10" t="str">
        <f aca="false">'템플릿 문항'!E321</f>
        <v>{지자체} 아이돌봄 서비스 이용 요금이 얼마인가요?</v>
      </c>
      <c r="C322" s="10" t="str">
        <f aca="false">'템플릿 문항'!H321</f>
        <v>중</v>
      </c>
      <c r="D322" s="20"/>
      <c r="E322" s="20"/>
      <c r="F322" s="21"/>
      <c r="G322" s="21"/>
      <c r="H322" s="21"/>
      <c r="I322" s="21" t="n">
        <v>5</v>
      </c>
      <c r="J322" s="20"/>
      <c r="K322" s="10" t="str">
        <f aca="false">IF(OR(D322="",E322=""),"",IF(AND(D322="적합",E322="적합"),"통과","미달"))</f>
        <v/>
      </c>
      <c r="L322" s="10" t="str">
        <f aca="false">IF(F322="","",IF(F322&gt;='검증 기준'!$B$5,"통과","미달"))</f>
        <v/>
      </c>
      <c r="M322" s="10" t="str">
        <f aca="false">IF(G322="","",IF(G322&lt;='검증 기준'!$B$6,"통과","불안정"))</f>
        <v/>
      </c>
      <c r="N322" s="10" t="str">
        <f aca="false">IF(OR(H322="",I322=""),"",IF(OR(AND(H322&gt;='검증 기준'!$B$7,H322&lt;=I322-'검증 기준'!$B$8),C322="고"),"통과","예비"))</f>
        <v/>
      </c>
      <c r="O322" s="10" t="str">
        <f aca="false">IF(J322="예","공급 공백",IF(OR(K322="",L322="",M322="",N322=""),"",IF(AND(K322="통과",L322="통과",N322="통과"),IF(M322="통과","패널","패널(불안정)"),IF(N322="예비","예비","제외"))))</f>
        <v/>
      </c>
    </row>
    <row r="323" customFormat="false" ht="15" hidden="false" customHeight="false" outlineLevel="0" collapsed="false">
      <c r="A323" s="10" t="str">
        <f aca="false">'템플릿 문항'!A322</f>
        <v>Q319</v>
      </c>
      <c r="B323" s="10" t="str">
        <f aca="false">'템플릿 문항'!E322</f>
        <v>{지자체} {동} 다함께돌봄센터가 어디인가요?</v>
      </c>
      <c r="C323" s="10" t="str">
        <f aca="false">'템플릿 문항'!H322</f>
        <v>중</v>
      </c>
      <c r="D323" s="20"/>
      <c r="E323" s="20"/>
      <c r="F323" s="21"/>
      <c r="G323" s="21"/>
      <c r="H323" s="21"/>
      <c r="I323" s="21" t="n">
        <v>5</v>
      </c>
      <c r="J323" s="20"/>
      <c r="K323" s="10" t="str">
        <f aca="false">IF(OR(D323="",E323=""),"",IF(AND(D323="적합",E323="적합"),"통과","미달"))</f>
        <v/>
      </c>
      <c r="L323" s="10" t="str">
        <f aca="false">IF(F323="","",IF(F323&gt;='검증 기준'!$B$5,"통과","미달"))</f>
        <v/>
      </c>
      <c r="M323" s="10" t="str">
        <f aca="false">IF(G323="","",IF(G323&lt;='검증 기준'!$B$6,"통과","불안정"))</f>
        <v/>
      </c>
      <c r="N323" s="10" t="str">
        <f aca="false">IF(OR(H323="",I323=""),"",IF(OR(AND(H323&gt;='검증 기준'!$B$7,H323&lt;=I323-'검증 기준'!$B$8),C323="고"),"통과","예비"))</f>
        <v/>
      </c>
      <c r="O323" s="10" t="str">
        <f aca="false">IF(J323="예","공급 공백",IF(OR(K323="",L323="",M323="",N323=""),"",IF(AND(K323="통과",L323="통과",N323="통과"),IF(M323="통과","패널","패널(불안정)"),IF(N323="예비","예비","제외"))))</f>
        <v/>
      </c>
    </row>
    <row r="324" customFormat="false" ht="15" hidden="false" customHeight="false" outlineLevel="0" collapsed="false">
      <c r="A324" s="10" t="str">
        <f aca="false">'템플릿 문항'!A323</f>
        <v>Q320</v>
      </c>
      <c r="B324" s="10" t="str">
        <f aca="false">'템플릿 문항'!E323</f>
        <v>{지자체} 다함께돌봄센터 운영 시간이 언제인가요?</v>
      </c>
      <c r="C324" s="10" t="str">
        <f aca="false">'템플릿 문항'!H323</f>
        <v>중</v>
      </c>
      <c r="D324" s="20"/>
      <c r="E324" s="20"/>
      <c r="F324" s="21"/>
      <c r="G324" s="21"/>
      <c r="H324" s="21"/>
      <c r="I324" s="21" t="n">
        <v>5</v>
      </c>
      <c r="J324" s="20"/>
      <c r="K324" s="10" t="str">
        <f aca="false">IF(OR(D324="",E324=""),"",IF(AND(D324="적합",E324="적합"),"통과","미달"))</f>
        <v/>
      </c>
      <c r="L324" s="10" t="str">
        <f aca="false">IF(F324="","",IF(F324&gt;='검증 기준'!$B$5,"통과","미달"))</f>
        <v/>
      </c>
      <c r="M324" s="10" t="str">
        <f aca="false">IF(G324="","",IF(G324&lt;='검증 기준'!$B$6,"통과","불안정"))</f>
        <v/>
      </c>
      <c r="N324" s="10" t="str">
        <f aca="false">IF(OR(H324="",I324=""),"",IF(OR(AND(H324&gt;='검증 기준'!$B$7,H324&lt;=I324-'검증 기준'!$B$8),C324="고"),"통과","예비"))</f>
        <v/>
      </c>
      <c r="O324" s="10" t="str">
        <f aca="false">IF(J324="예","공급 공백",IF(OR(K324="",L324="",M324="",N324=""),"",IF(AND(K324="통과",L324="통과",N324="통과"),IF(M324="통과","패널","패널(불안정)"),IF(N324="예비","예비","제외"))))</f>
        <v/>
      </c>
    </row>
    <row r="325" customFormat="false" ht="15" hidden="false" customHeight="false" outlineLevel="0" collapsed="false">
      <c r="A325" s="10" t="str">
        <f aca="false">'템플릿 문항'!A324</f>
        <v>Q321</v>
      </c>
      <c r="B325" s="10" t="str">
        <f aca="false">'템플릿 문항'!E324</f>
        <v>{지자체} 아동 급식카드 신청은 어디서 하나요?</v>
      </c>
      <c r="C325" s="10" t="str">
        <f aca="false">'템플릿 문항'!H324</f>
        <v>고</v>
      </c>
      <c r="D325" s="20"/>
      <c r="E325" s="20"/>
      <c r="F325" s="21"/>
      <c r="G325" s="21"/>
      <c r="H325" s="21"/>
      <c r="I325" s="21" t="n">
        <v>5</v>
      </c>
      <c r="J325" s="20"/>
      <c r="K325" s="10" t="str">
        <f aca="false">IF(OR(D325="",E325=""),"",IF(AND(D325="적합",E325="적합"),"통과","미달"))</f>
        <v/>
      </c>
      <c r="L325" s="10" t="str">
        <f aca="false">IF(F325="","",IF(F325&gt;='검증 기준'!$B$5,"통과","미달"))</f>
        <v/>
      </c>
      <c r="M325" s="10" t="str">
        <f aca="false">IF(G325="","",IF(G325&lt;='검증 기준'!$B$6,"통과","불안정"))</f>
        <v/>
      </c>
      <c r="N325" s="10" t="str">
        <f aca="false">IF(OR(H325="",I325=""),"",IF(OR(AND(H325&gt;='검증 기준'!$B$7,H325&lt;=I325-'검증 기준'!$B$8),C325="고"),"통과","예비"))</f>
        <v/>
      </c>
      <c r="O325" s="10" t="str">
        <f aca="false">IF(J325="예","공급 공백",IF(OR(K325="",L325="",M325="",N325=""),"",IF(AND(K325="통과",L325="통과",N325="통과"),IF(M325="통과","패널","패널(불안정)"),IF(N325="예비","예비","제외"))))</f>
        <v/>
      </c>
    </row>
    <row r="326" customFormat="false" ht="15" hidden="false" customHeight="false" outlineLevel="0" collapsed="false">
      <c r="A326" s="10" t="str">
        <f aca="false">'템플릿 문항'!A325</f>
        <v>Q322</v>
      </c>
      <c r="B326" s="10" t="str">
        <f aca="false">'템플릿 문항'!E325</f>
        <v>{지자체} 청소년 교통비 지원이 있나요?</v>
      </c>
      <c r="C326" s="10" t="str">
        <f aca="false">'템플릿 문항'!H325</f>
        <v>중</v>
      </c>
      <c r="D326" s="20"/>
      <c r="E326" s="20"/>
      <c r="F326" s="21"/>
      <c r="G326" s="21"/>
      <c r="H326" s="21"/>
      <c r="I326" s="21" t="n">
        <v>5</v>
      </c>
      <c r="J326" s="20"/>
      <c r="K326" s="10" t="str">
        <f aca="false">IF(OR(D326="",E326=""),"",IF(AND(D326="적합",E326="적합"),"통과","미달"))</f>
        <v/>
      </c>
      <c r="L326" s="10" t="str">
        <f aca="false">IF(F326="","",IF(F326&gt;='검증 기준'!$B$5,"통과","미달"))</f>
        <v/>
      </c>
      <c r="M326" s="10" t="str">
        <f aca="false">IF(G326="","",IF(G326&lt;='검증 기준'!$B$6,"통과","불안정"))</f>
        <v/>
      </c>
      <c r="N326" s="10" t="str">
        <f aca="false">IF(OR(H326="",I326=""),"",IF(OR(AND(H326&gt;='검증 기준'!$B$7,H326&lt;=I326-'검증 기준'!$B$8),C326="고"),"통과","예비"))</f>
        <v/>
      </c>
      <c r="O326" s="10" t="str">
        <f aca="false">IF(J326="예","공급 공백",IF(OR(K326="",L326="",M326="",N326=""),"",IF(AND(K326="통과",L326="통과",N326="통과"),IF(M326="통과","패널","패널(불안정)"),IF(N326="예비","예비","제외"))))</f>
        <v/>
      </c>
    </row>
    <row r="327" customFormat="false" ht="15" hidden="false" customHeight="false" outlineLevel="0" collapsed="false">
      <c r="A327" s="10" t="str">
        <f aca="false">'템플릿 문항'!A326</f>
        <v>Q323</v>
      </c>
      <c r="B327" s="10" t="str">
        <f aca="false">'템플릿 문항'!E326</f>
        <v>{지자체} 다자녀 가정 {혜택} 혜택이 있나요?</v>
      </c>
      <c r="C327" s="10" t="str">
        <f aca="false">'템플릿 문항'!H326</f>
        <v>중</v>
      </c>
      <c r="D327" s="20"/>
      <c r="E327" s="20"/>
      <c r="F327" s="21"/>
      <c r="G327" s="21"/>
      <c r="H327" s="21"/>
      <c r="I327" s="21" t="n">
        <v>5</v>
      </c>
      <c r="J327" s="20"/>
      <c r="K327" s="10" t="str">
        <f aca="false">IF(OR(D327="",E327=""),"",IF(AND(D327="적합",E327="적합"),"통과","미달"))</f>
        <v/>
      </c>
      <c r="L327" s="10" t="str">
        <f aca="false">IF(F327="","",IF(F327&gt;='검증 기준'!$B$5,"통과","미달"))</f>
        <v/>
      </c>
      <c r="M327" s="10" t="str">
        <f aca="false">IF(G327="","",IF(G327&lt;='검증 기준'!$B$6,"통과","불안정"))</f>
        <v/>
      </c>
      <c r="N327" s="10" t="str">
        <f aca="false">IF(OR(H327="",I327=""),"",IF(OR(AND(H327&gt;='검증 기준'!$B$7,H327&lt;=I327-'검증 기준'!$B$8),C327="고"),"통과","예비"))</f>
        <v/>
      </c>
      <c r="O327" s="10" t="str">
        <f aca="false">IF(J327="예","공급 공백",IF(OR(K327="",L327="",M327="",N327=""),"",IF(AND(K327="통과",L327="통과",N327="통과"),IF(M327="통과","패널","패널(불안정)"),IF(N327="예비","예비","제외"))))</f>
        <v/>
      </c>
    </row>
    <row r="328" customFormat="false" ht="15" hidden="false" customHeight="false" outlineLevel="0" collapsed="false">
      <c r="A328" s="10" t="str">
        <f aca="false">'템플릿 문항'!A327</f>
        <v>Q324</v>
      </c>
      <c r="B328" s="10" t="str">
        <f aca="false">'템플릿 문항'!E327</f>
        <v>{지자체} 청소년상담복지센터는 어디에 있나요?</v>
      </c>
      <c r="C328" s="10" t="str">
        <f aca="false">'템플릿 문항'!H327</f>
        <v>고</v>
      </c>
      <c r="D328" s="20"/>
      <c r="E328" s="20"/>
      <c r="F328" s="21"/>
      <c r="G328" s="21"/>
      <c r="H328" s="21"/>
      <c r="I328" s="21" t="n">
        <v>5</v>
      </c>
      <c r="J328" s="20"/>
      <c r="K328" s="10" t="str">
        <f aca="false">IF(OR(D328="",E328=""),"",IF(AND(D328="적합",E328="적합"),"통과","미달"))</f>
        <v/>
      </c>
      <c r="L328" s="10" t="str">
        <f aca="false">IF(F328="","",IF(F328&gt;='검증 기준'!$B$5,"통과","미달"))</f>
        <v/>
      </c>
      <c r="M328" s="10" t="str">
        <f aca="false">IF(G328="","",IF(G328&lt;='검증 기준'!$B$6,"통과","불안정"))</f>
        <v/>
      </c>
      <c r="N328" s="10" t="str">
        <f aca="false">IF(OR(H328="",I328=""),"",IF(OR(AND(H328&gt;='검증 기준'!$B$7,H328&lt;=I328-'검증 기준'!$B$8),C328="고"),"통과","예비"))</f>
        <v/>
      </c>
      <c r="O328" s="10" t="str">
        <f aca="false">IF(J328="예","공급 공백",IF(OR(K328="",L328="",M328="",N328=""),"",IF(AND(K328="통과",L328="통과",N328="통과"),IF(M328="통과","패널","패널(불안정)"),IF(N328="예비","예비","제외"))))</f>
        <v/>
      </c>
    </row>
    <row r="329" customFormat="false" ht="27.6" hidden="false" customHeight="false" outlineLevel="0" collapsed="false">
      <c r="A329" s="10" t="str">
        <f aca="false">'템플릿 문항'!A328</f>
        <v>Q325</v>
      </c>
      <c r="B329" s="10" t="str">
        <f aca="false">'템플릿 문항'!E328</f>
        <v>{지자체} 평생학습관 {강좌유형} 강좌 수강료가 얼마인가요?</v>
      </c>
      <c r="C329" s="10" t="str">
        <f aca="false">'템플릿 문항'!H328</f>
        <v>저</v>
      </c>
      <c r="D329" s="20"/>
      <c r="E329" s="20"/>
      <c r="F329" s="21"/>
      <c r="G329" s="21"/>
      <c r="H329" s="21"/>
      <c r="I329" s="21" t="n">
        <v>5</v>
      </c>
      <c r="J329" s="20"/>
      <c r="K329" s="10" t="str">
        <f aca="false">IF(OR(D329="",E329=""),"",IF(AND(D329="적합",E329="적합"),"통과","미달"))</f>
        <v/>
      </c>
      <c r="L329" s="10" t="str">
        <f aca="false">IF(F329="","",IF(F329&gt;='검증 기준'!$B$5,"통과","미달"))</f>
        <v/>
      </c>
      <c r="M329" s="10" t="str">
        <f aca="false">IF(G329="","",IF(G329&lt;='검증 기준'!$B$6,"통과","불안정"))</f>
        <v/>
      </c>
      <c r="N329" s="10" t="str">
        <f aca="false">IF(OR(H329="",I329=""),"",IF(OR(AND(H329&gt;='검증 기준'!$B$7,H329&lt;=I329-'검증 기준'!$B$8),C329="고"),"통과","예비"))</f>
        <v/>
      </c>
      <c r="O329" s="10" t="str">
        <f aca="false">IF(J329="예","공급 공백",IF(OR(K329="",L329="",M329="",N329=""),"",IF(AND(K329="통과",L329="통과",N329="통과"),IF(M329="통과","패널","패널(불안정)"),IF(N329="예비","예비","제외"))))</f>
        <v/>
      </c>
    </row>
    <row r="330" customFormat="false" ht="15" hidden="false" customHeight="false" outlineLevel="0" collapsed="false">
      <c r="A330" s="10" t="str">
        <f aca="false">'템플릿 문항'!A329</f>
        <v>Q326</v>
      </c>
      <c r="B330" s="10" t="str">
        <f aca="false">'템플릿 문항'!E329</f>
        <v>{지자체} 평생학습관 전화번호가 뭔가요?</v>
      </c>
      <c r="C330" s="10" t="str">
        <f aca="false">'템플릿 문항'!H329</f>
        <v>저</v>
      </c>
      <c r="D330" s="20"/>
      <c r="E330" s="20"/>
      <c r="F330" s="21"/>
      <c r="G330" s="21"/>
      <c r="H330" s="21"/>
      <c r="I330" s="21" t="n">
        <v>5</v>
      </c>
      <c r="J330" s="20"/>
      <c r="K330" s="10" t="str">
        <f aca="false">IF(OR(D330="",E330=""),"",IF(AND(D330="적합",E330="적합"),"통과","미달"))</f>
        <v/>
      </c>
      <c r="L330" s="10" t="str">
        <f aca="false">IF(F330="","",IF(F330&gt;='검증 기준'!$B$5,"통과","미달"))</f>
        <v/>
      </c>
      <c r="M330" s="10" t="str">
        <f aca="false">IF(G330="","",IF(G330&lt;='검증 기준'!$B$6,"통과","불안정"))</f>
        <v/>
      </c>
      <c r="N330" s="10" t="str">
        <f aca="false">IF(OR(H330="",I330=""),"",IF(OR(AND(H330&gt;='검증 기준'!$B$7,H330&lt;=I330-'검증 기준'!$B$8),C330="고"),"통과","예비"))</f>
        <v/>
      </c>
      <c r="O330" s="10" t="str">
        <f aca="false">IF(J330="예","공급 공백",IF(OR(K330="",L330="",M330="",N330=""),"",IF(AND(K330="통과",L330="통과",N330="통과"),IF(M330="통과","패널","패널(불안정)"),IF(N330="예비","예비","제외"))))</f>
        <v/>
      </c>
    </row>
    <row r="331" customFormat="false" ht="15" hidden="false" customHeight="false" outlineLevel="0" collapsed="false">
      <c r="A331" s="10" t="str">
        <f aca="false">'템플릿 문항'!A330</f>
        <v>Q327</v>
      </c>
      <c r="B331" s="10" t="str">
        <f aca="false">'템플릿 문항'!E330</f>
        <v>{지자체} 건축물 용도변경 신고는 어디서 하나요?</v>
      </c>
      <c r="C331" s="10" t="str">
        <f aca="false">'템플릿 문항'!H330</f>
        <v>중</v>
      </c>
      <c r="D331" s="20"/>
      <c r="E331" s="20"/>
      <c r="F331" s="21"/>
      <c r="G331" s="21"/>
      <c r="H331" s="21"/>
      <c r="I331" s="21" t="n">
        <v>5</v>
      </c>
      <c r="J331" s="20"/>
      <c r="K331" s="10" t="str">
        <f aca="false">IF(OR(D331="",E331=""),"",IF(AND(D331="적합",E331="적합"),"통과","미달"))</f>
        <v/>
      </c>
      <c r="L331" s="10" t="str">
        <f aca="false">IF(F331="","",IF(F331&gt;='검증 기준'!$B$5,"통과","미달"))</f>
        <v/>
      </c>
      <c r="M331" s="10" t="str">
        <f aca="false">IF(G331="","",IF(G331&lt;='검증 기준'!$B$6,"통과","불안정"))</f>
        <v/>
      </c>
      <c r="N331" s="10" t="str">
        <f aca="false">IF(OR(H331="",I331=""),"",IF(OR(AND(H331&gt;='검증 기준'!$B$7,H331&lt;=I331-'검증 기준'!$B$8),C331="고"),"통과","예비"))</f>
        <v/>
      </c>
      <c r="O331" s="10" t="str">
        <f aca="false">IF(J331="예","공급 공백",IF(OR(K331="",L331="",M331="",N331=""),"",IF(AND(K331="통과",L331="통과",N331="통과"),IF(M331="통과","패널","패널(불안정)"),IF(N331="예비","예비","제외"))))</f>
        <v/>
      </c>
    </row>
    <row r="332" customFormat="false" ht="15" hidden="false" customHeight="false" outlineLevel="0" collapsed="false">
      <c r="A332" s="10" t="str">
        <f aca="false">'템플릿 문항'!A331</f>
        <v>Q328</v>
      </c>
      <c r="B332" s="10" t="str">
        <f aca="false">'템플릿 문항'!E331</f>
        <v>{지자체} 옥외광고물 허가 수수료가 얼마인가요?</v>
      </c>
      <c r="C332" s="10" t="str">
        <f aca="false">'템플릿 문항'!H331</f>
        <v>중</v>
      </c>
      <c r="D332" s="20"/>
      <c r="E332" s="20"/>
      <c r="F332" s="21"/>
      <c r="G332" s="21"/>
      <c r="H332" s="21"/>
      <c r="I332" s="21" t="n">
        <v>5</v>
      </c>
      <c r="J332" s="20"/>
      <c r="K332" s="10" t="str">
        <f aca="false">IF(OR(D332="",E332=""),"",IF(AND(D332="적합",E332="적합"),"통과","미달"))</f>
        <v/>
      </c>
      <c r="L332" s="10" t="str">
        <f aca="false">IF(F332="","",IF(F332&gt;='검증 기준'!$B$5,"통과","미달"))</f>
        <v/>
      </c>
      <c r="M332" s="10" t="str">
        <f aca="false">IF(G332="","",IF(G332&lt;='검증 기준'!$B$6,"통과","불안정"))</f>
        <v/>
      </c>
      <c r="N332" s="10" t="str">
        <f aca="false">IF(OR(H332="",I332=""),"",IF(OR(AND(H332&gt;='검증 기준'!$B$7,H332&lt;=I332-'검증 기준'!$B$8),C332="고"),"통과","예비"))</f>
        <v/>
      </c>
      <c r="O332" s="10" t="str">
        <f aca="false">IF(J332="예","공급 공백",IF(OR(K332="",L332="",M332="",N332=""),"",IF(AND(K332="통과",L332="통과",N332="통과"),IF(M332="통과","패널","패널(불안정)"),IF(N332="예비","예비","제외"))))</f>
        <v/>
      </c>
    </row>
    <row r="333" customFormat="false" ht="15" hidden="false" customHeight="false" outlineLevel="0" collapsed="false">
      <c r="A333" s="10" t="str">
        <f aca="false">'템플릿 문항'!A332</f>
        <v>Q329</v>
      </c>
      <c r="B333" s="10" t="str">
        <f aca="false">'템플릿 문항'!E332</f>
        <v>{지자체} {인허가} 처리 기간이 얼마나 되나요?</v>
      </c>
      <c r="C333" s="10" t="str">
        <f aca="false">'템플릿 문항'!H332</f>
        <v>중</v>
      </c>
      <c r="D333" s="20"/>
      <c r="E333" s="20"/>
      <c r="F333" s="21"/>
      <c r="G333" s="21"/>
      <c r="H333" s="21"/>
      <c r="I333" s="21" t="n">
        <v>5</v>
      </c>
      <c r="J333" s="20"/>
      <c r="K333" s="10" t="str">
        <f aca="false">IF(OR(D333="",E333=""),"",IF(AND(D333="적합",E333="적합"),"통과","미달"))</f>
        <v/>
      </c>
      <c r="L333" s="10" t="str">
        <f aca="false">IF(F333="","",IF(F333&gt;='검증 기준'!$B$5,"통과","미달"))</f>
        <v/>
      </c>
      <c r="M333" s="10" t="str">
        <f aca="false">IF(G333="","",IF(G333&lt;='검증 기준'!$B$6,"통과","불안정"))</f>
        <v/>
      </c>
      <c r="N333" s="10" t="str">
        <f aca="false">IF(OR(H333="",I333=""),"",IF(OR(AND(H333&gt;='검증 기준'!$B$7,H333&lt;=I333-'검증 기준'!$B$8),C333="고"),"통과","예비"))</f>
        <v/>
      </c>
      <c r="O333" s="10" t="str">
        <f aca="false">IF(J333="예","공급 공백",IF(OR(K333="",L333="",M333="",N333=""),"",IF(AND(K333="통과",L333="통과",N333="통과"),IF(M333="통과","패널","패널(불안정)"),IF(N333="예비","예비","제외"))))</f>
        <v/>
      </c>
    </row>
    <row r="334" customFormat="false" ht="15" hidden="false" customHeight="false" outlineLevel="0" collapsed="false">
      <c r="A334" s="10" t="str">
        <f aca="false">'템플릿 문항'!A333</f>
        <v>Q330</v>
      </c>
      <c r="B334" s="10" t="str">
        <f aca="false">'템플릿 문항'!E333</f>
        <v>{지자체} 주택 부설주차장 설치 기준이 뭔가요?</v>
      </c>
      <c r="C334" s="10" t="str">
        <f aca="false">'템플릿 문항'!H333</f>
        <v>저</v>
      </c>
      <c r="D334" s="20"/>
      <c r="E334" s="20"/>
      <c r="F334" s="21"/>
      <c r="G334" s="21"/>
      <c r="H334" s="21"/>
      <c r="I334" s="21" t="n">
        <v>5</v>
      </c>
      <c r="J334" s="20"/>
      <c r="K334" s="10" t="str">
        <f aca="false">IF(OR(D334="",E334=""),"",IF(AND(D334="적합",E334="적합"),"통과","미달"))</f>
        <v/>
      </c>
      <c r="L334" s="10" t="str">
        <f aca="false">IF(F334="","",IF(F334&gt;='검증 기준'!$B$5,"통과","미달"))</f>
        <v/>
      </c>
      <c r="M334" s="10" t="str">
        <f aca="false">IF(G334="","",IF(G334&lt;='검증 기준'!$B$6,"통과","불안정"))</f>
        <v/>
      </c>
      <c r="N334" s="10" t="str">
        <f aca="false">IF(OR(H334="",I334=""),"",IF(OR(AND(H334&gt;='검증 기준'!$B$7,H334&lt;=I334-'검증 기준'!$B$8),C334="고"),"통과","예비"))</f>
        <v/>
      </c>
      <c r="O334" s="10" t="str">
        <f aca="false">IF(J334="예","공급 공백",IF(OR(K334="",L334="",M334="",N334=""),"",IF(AND(K334="통과",L334="통과",N334="통과"),IF(M334="통과","패널","패널(불안정)"),IF(N334="예비","예비","제외"))))</f>
        <v/>
      </c>
    </row>
    <row r="335" customFormat="false" ht="15" hidden="false" customHeight="false" outlineLevel="0" collapsed="false">
      <c r="A335" s="10" t="str">
        <f aca="false">'템플릿 문항'!A334</f>
        <v>Q331</v>
      </c>
      <c r="B335" s="10" t="str">
        <f aca="false">'템플릿 문항'!E334</f>
        <v>{지자체} 공동주택 {사업} 지원 대상이 뭔가요?</v>
      </c>
      <c r="C335" s="10" t="str">
        <f aca="false">'템플릿 문항'!H334</f>
        <v>중</v>
      </c>
      <c r="D335" s="20"/>
      <c r="E335" s="20"/>
      <c r="F335" s="21"/>
      <c r="G335" s="21"/>
      <c r="H335" s="21"/>
      <c r="I335" s="21" t="n">
        <v>5</v>
      </c>
      <c r="J335" s="20"/>
      <c r="K335" s="10" t="str">
        <f aca="false">IF(OR(D335="",E335=""),"",IF(AND(D335="적합",E335="적합"),"통과","미달"))</f>
        <v/>
      </c>
      <c r="L335" s="10" t="str">
        <f aca="false">IF(F335="","",IF(F335&gt;='검증 기준'!$B$5,"통과","미달"))</f>
        <v/>
      </c>
      <c r="M335" s="10" t="str">
        <f aca="false">IF(G335="","",IF(G335&lt;='검증 기준'!$B$6,"통과","불안정"))</f>
        <v/>
      </c>
      <c r="N335" s="10" t="str">
        <f aca="false">IF(OR(H335="",I335=""),"",IF(OR(AND(H335&gt;='검증 기준'!$B$7,H335&lt;=I335-'검증 기준'!$B$8),C335="고"),"통과","예비"))</f>
        <v/>
      </c>
      <c r="O335" s="10" t="str">
        <f aca="false">IF(J335="예","공급 공백",IF(OR(K335="",L335="",M335="",N335=""),"",IF(AND(K335="통과",L335="통과",N335="통과"),IF(M335="통과","패널","패널(불안정)"),IF(N335="예비","예비","제외"))))</f>
        <v/>
      </c>
    </row>
    <row r="336" customFormat="false" ht="15" hidden="false" customHeight="false" outlineLevel="0" collapsed="false">
      <c r="A336" s="10" t="str">
        <f aca="false">'템플릿 문항'!A335</f>
        <v>Q332</v>
      </c>
      <c r="B336" s="10" t="str">
        <f aca="false">'템플릿 문항'!E335</f>
        <v>{지자체} 빈집 신고는 어디에 하나요?</v>
      </c>
      <c r="C336" s="10" t="str">
        <f aca="false">'템플릿 문항'!H335</f>
        <v>중</v>
      </c>
      <c r="D336" s="20"/>
      <c r="E336" s="20"/>
      <c r="F336" s="21"/>
      <c r="G336" s="21"/>
      <c r="H336" s="21"/>
      <c r="I336" s="21" t="n">
        <v>5</v>
      </c>
      <c r="J336" s="20"/>
      <c r="K336" s="10" t="str">
        <f aca="false">IF(OR(D336="",E336=""),"",IF(AND(D336="적합",E336="적합"),"통과","미달"))</f>
        <v/>
      </c>
      <c r="L336" s="10" t="str">
        <f aca="false">IF(F336="","",IF(F336&gt;='검증 기준'!$B$5,"통과","미달"))</f>
        <v/>
      </c>
      <c r="M336" s="10" t="str">
        <f aca="false">IF(G336="","",IF(G336&lt;='검증 기준'!$B$6,"통과","불안정"))</f>
        <v/>
      </c>
      <c r="N336" s="10" t="str">
        <f aca="false">IF(OR(H336="",I336=""),"",IF(OR(AND(H336&gt;='검증 기준'!$B$7,H336&lt;=I336-'검증 기준'!$B$8),C336="고"),"통과","예비"))</f>
        <v/>
      </c>
      <c r="O336" s="10" t="str">
        <f aca="false">IF(J336="예","공급 공백",IF(OR(K336="",L336="",M336="",N336=""),"",IF(AND(K336="통과",L336="통과",N336="통과"),IF(M336="통과","패널","패널(불안정)"),IF(N336="예비","예비","제외"))))</f>
        <v/>
      </c>
    </row>
    <row r="337" customFormat="false" ht="15" hidden="false" customHeight="false" outlineLevel="0" collapsed="false">
      <c r="A337" s="10" t="str">
        <f aca="false">'템플릿 문항'!A336</f>
        <v>Q333</v>
      </c>
      <c r="B337" s="10" t="str">
        <f aca="false">'템플릿 문항'!E336</f>
        <v>{지자체} 집수리 지원 사업 지원 금액이 얼마인가요?</v>
      </c>
      <c r="C337" s="10" t="str">
        <f aca="false">'템플릿 문항'!H336</f>
        <v>중</v>
      </c>
      <c r="D337" s="20"/>
      <c r="E337" s="20"/>
      <c r="F337" s="21"/>
      <c r="G337" s="21"/>
      <c r="H337" s="21"/>
      <c r="I337" s="21" t="n">
        <v>5</v>
      </c>
      <c r="J337" s="20"/>
      <c r="K337" s="10" t="str">
        <f aca="false">IF(OR(D337="",E337=""),"",IF(AND(D337="적합",E337="적합"),"통과","미달"))</f>
        <v/>
      </c>
      <c r="L337" s="10" t="str">
        <f aca="false">IF(F337="","",IF(F337&gt;='검증 기준'!$B$5,"통과","미달"))</f>
        <v/>
      </c>
      <c r="M337" s="10" t="str">
        <f aca="false">IF(G337="","",IF(G337&lt;='검증 기준'!$B$6,"통과","불안정"))</f>
        <v/>
      </c>
      <c r="N337" s="10" t="str">
        <f aca="false">IF(OR(H337="",I337=""),"",IF(OR(AND(H337&gt;='검증 기준'!$B$7,H337&lt;=I337-'검증 기준'!$B$8),C337="고"),"통과","예비"))</f>
        <v/>
      </c>
      <c r="O337" s="10" t="str">
        <f aca="false">IF(J337="예","공급 공백",IF(OR(K337="",L337="",M337="",N337=""),"",IF(AND(K337="통과",L337="통과",N337="통과"),IF(M337="통과","패널","패널(불안정)"),IF(N337="예비","예비","제외"))))</f>
        <v/>
      </c>
    </row>
    <row r="338" customFormat="false" ht="15" hidden="false" customHeight="false" outlineLevel="0" collapsed="false">
      <c r="A338" s="10" t="str">
        <f aca="false">'템플릿 문항'!A337</f>
        <v>Q334</v>
      </c>
      <c r="B338" s="10" t="str">
        <f aca="false">'템플릿 문항'!E337</f>
        <v>{지자체} 도시가스 미공급 지역 지원이 있나요?</v>
      </c>
      <c r="C338" s="10" t="str">
        <f aca="false">'템플릿 문항'!H337</f>
        <v>중</v>
      </c>
      <c r="D338" s="20"/>
      <c r="E338" s="20"/>
      <c r="F338" s="21"/>
      <c r="G338" s="21"/>
      <c r="H338" s="21"/>
      <c r="I338" s="21" t="n">
        <v>5</v>
      </c>
      <c r="J338" s="20"/>
      <c r="K338" s="10" t="str">
        <f aca="false">IF(OR(D338="",E338=""),"",IF(AND(D338="적합",E338="적합"),"통과","미달"))</f>
        <v/>
      </c>
      <c r="L338" s="10" t="str">
        <f aca="false">IF(F338="","",IF(F338&gt;='검증 기준'!$B$5,"통과","미달"))</f>
        <v/>
      </c>
      <c r="M338" s="10" t="str">
        <f aca="false">IF(G338="","",IF(G338&lt;='검증 기준'!$B$6,"통과","불안정"))</f>
        <v/>
      </c>
      <c r="N338" s="10" t="str">
        <f aca="false">IF(OR(H338="",I338=""),"",IF(OR(AND(H338&gt;='검증 기준'!$B$7,H338&lt;=I338-'검증 기준'!$B$8),C338="고"),"통과","예비"))</f>
        <v/>
      </c>
      <c r="O338" s="10" t="str">
        <f aca="false">IF(J338="예","공급 공백",IF(OR(K338="",L338="",M338="",N338=""),"",IF(AND(K338="통과",L338="통과",N338="통과"),IF(M338="통과","패널","패널(불안정)"),IF(N338="예비","예비","제외"))))</f>
        <v/>
      </c>
    </row>
    <row r="339" customFormat="false" ht="15" hidden="false" customHeight="false" outlineLevel="0" collapsed="false">
      <c r="A339" s="10" t="str">
        <f aca="false">'템플릿 문항'!A338</f>
        <v>Q335</v>
      </c>
      <c r="B339" s="10" t="str">
        <f aca="false">'템플릿 문항'!E338</f>
        <v>{지자체} 주택 임대차 신고는 어디서 하나요?</v>
      </c>
      <c r="C339" s="10" t="str">
        <f aca="false">'템플릿 문항'!H338</f>
        <v>고</v>
      </c>
      <c r="D339" s="20"/>
      <c r="E339" s="20"/>
      <c r="F339" s="21"/>
      <c r="G339" s="21"/>
      <c r="H339" s="21"/>
      <c r="I339" s="21" t="n">
        <v>5</v>
      </c>
      <c r="J339" s="20"/>
      <c r="K339" s="10" t="str">
        <f aca="false">IF(OR(D339="",E339=""),"",IF(AND(D339="적합",E339="적합"),"통과","미달"))</f>
        <v/>
      </c>
      <c r="L339" s="10" t="str">
        <f aca="false">IF(F339="","",IF(F339&gt;='검증 기준'!$B$5,"통과","미달"))</f>
        <v/>
      </c>
      <c r="M339" s="10" t="str">
        <f aca="false">IF(G339="","",IF(G339&lt;='검증 기준'!$B$6,"통과","불안정"))</f>
        <v/>
      </c>
      <c r="N339" s="10" t="str">
        <f aca="false">IF(OR(H339="",I339=""),"",IF(OR(AND(H339&gt;='검증 기준'!$B$7,H339&lt;=I339-'검증 기준'!$B$8),C339="고"),"통과","예비"))</f>
        <v/>
      </c>
      <c r="O339" s="10" t="str">
        <f aca="false">IF(J339="예","공급 공백",IF(OR(K339="",L339="",M339="",N339=""),"",IF(AND(K339="통과",L339="통과",N339="통과"),IF(M339="통과","패널","패널(불안정)"),IF(N339="예비","예비","제외"))))</f>
        <v/>
      </c>
    </row>
    <row r="340" customFormat="false" ht="15" hidden="false" customHeight="false" outlineLevel="0" collapsed="false">
      <c r="A340" s="10" t="str">
        <f aca="false">'템플릿 문항'!A339</f>
        <v>Q336</v>
      </c>
      <c r="B340" s="10" t="str">
        <f aca="false">'템플릿 문항'!E339</f>
        <v>{지자체} 임대차 신고 안 하면 과태료가 얼마인가요?</v>
      </c>
      <c r="C340" s="10" t="str">
        <f aca="false">'템플릿 문항'!H339</f>
        <v>고</v>
      </c>
      <c r="D340" s="20"/>
      <c r="E340" s="20"/>
      <c r="F340" s="21"/>
      <c r="G340" s="21"/>
      <c r="H340" s="21"/>
      <c r="I340" s="21" t="n">
        <v>5</v>
      </c>
      <c r="J340" s="20"/>
      <c r="K340" s="10" t="str">
        <f aca="false">IF(OR(D340="",E340=""),"",IF(AND(D340="적합",E340="적합"),"통과","미달"))</f>
        <v/>
      </c>
      <c r="L340" s="10" t="str">
        <f aca="false">IF(F340="","",IF(F340&gt;='검증 기준'!$B$5,"통과","미달"))</f>
        <v/>
      </c>
      <c r="M340" s="10" t="str">
        <f aca="false">IF(G340="","",IF(G340&lt;='검증 기준'!$B$6,"통과","불안정"))</f>
        <v/>
      </c>
      <c r="N340" s="10" t="str">
        <f aca="false">IF(OR(H340="",I340=""),"",IF(OR(AND(H340&gt;='검증 기준'!$B$7,H340&lt;=I340-'검증 기준'!$B$8),C340="고"),"통과","예비"))</f>
        <v/>
      </c>
      <c r="O340" s="10" t="str">
        <f aca="false">IF(J340="예","공급 공백",IF(OR(K340="",L340="",M340="",N340=""),"",IF(AND(K340="통과",L340="통과",N340="통과"),IF(M340="통과","패널","패널(불안정)"),IF(N340="예비","예비","제외"))))</f>
        <v/>
      </c>
    </row>
    <row r="341" customFormat="false" ht="15" hidden="false" customHeight="false" outlineLevel="0" collapsed="false">
      <c r="A341" s="10" t="str">
        <f aca="false">'템플릿 문항'!A340</f>
        <v>Q337</v>
      </c>
      <c r="B341" s="10" t="str">
        <f aca="false">'템플릿 문항'!E340</f>
        <v>{지자체} 전세 피해자 {피해지원} 지원은 어디서 받나요?</v>
      </c>
      <c r="C341" s="10" t="str">
        <f aca="false">'템플릿 문항'!H340</f>
        <v>고</v>
      </c>
      <c r="D341" s="20"/>
      <c r="E341" s="20"/>
      <c r="F341" s="21"/>
      <c r="G341" s="21"/>
      <c r="H341" s="21"/>
      <c r="I341" s="21" t="n">
        <v>5</v>
      </c>
      <c r="J341" s="20"/>
      <c r="K341" s="10" t="str">
        <f aca="false">IF(OR(D341="",E341=""),"",IF(AND(D341="적합",E341="적합"),"통과","미달"))</f>
        <v/>
      </c>
      <c r="L341" s="10" t="str">
        <f aca="false">IF(F341="","",IF(F341&gt;='검증 기준'!$B$5,"통과","미달"))</f>
        <v/>
      </c>
      <c r="M341" s="10" t="str">
        <f aca="false">IF(G341="","",IF(G341&lt;='검증 기준'!$B$6,"통과","불안정"))</f>
        <v/>
      </c>
      <c r="N341" s="10" t="str">
        <f aca="false">IF(OR(H341="",I341=""),"",IF(OR(AND(H341&gt;='검증 기준'!$B$7,H341&lt;=I341-'검증 기준'!$B$8),C341="고"),"통과","예비"))</f>
        <v/>
      </c>
      <c r="O341" s="10" t="str">
        <f aca="false">IF(J341="예","공급 공백",IF(OR(K341="",L341="",M341="",N341=""),"",IF(AND(K341="통과",L341="통과",N341="통과"),IF(M341="통과","패널","패널(불안정)"),IF(N341="예비","예비","제외"))))</f>
        <v/>
      </c>
    </row>
    <row r="342" customFormat="false" ht="15" hidden="false" customHeight="false" outlineLevel="0" collapsed="false">
      <c r="A342" s="10" t="str">
        <f aca="false">'템플릿 문항'!A341</f>
        <v>Q338</v>
      </c>
      <c r="B342" s="10" t="str">
        <f aca="false">'템플릿 문항'!E341</f>
        <v>{지자체} {임대유형} 신청은 어디서 하나요?</v>
      </c>
      <c r="C342" s="10" t="str">
        <f aca="false">'템플릿 문항'!H341</f>
        <v>고</v>
      </c>
      <c r="D342" s="20"/>
      <c r="E342" s="20"/>
      <c r="F342" s="21"/>
      <c r="G342" s="21"/>
      <c r="H342" s="21"/>
      <c r="I342" s="21" t="n">
        <v>5</v>
      </c>
      <c r="J342" s="20"/>
      <c r="K342" s="10" t="str">
        <f aca="false">IF(OR(D342="",E342=""),"",IF(AND(D342="적합",E342="적합"),"통과","미달"))</f>
        <v/>
      </c>
      <c r="L342" s="10" t="str">
        <f aca="false">IF(F342="","",IF(F342&gt;='검증 기준'!$B$5,"통과","미달"))</f>
        <v/>
      </c>
      <c r="M342" s="10" t="str">
        <f aca="false">IF(G342="","",IF(G342&lt;='검증 기준'!$B$6,"통과","불안정"))</f>
        <v/>
      </c>
      <c r="N342" s="10" t="str">
        <f aca="false">IF(OR(H342="",I342=""),"",IF(OR(AND(H342&gt;='검증 기준'!$B$7,H342&lt;=I342-'검증 기준'!$B$8),C342="고"),"통과","예비"))</f>
        <v/>
      </c>
      <c r="O342" s="10" t="str">
        <f aca="false">IF(J342="예","공급 공백",IF(OR(K342="",L342="",M342="",N342=""),"",IF(AND(K342="통과",L342="통과",N342="통과"),IF(M342="통과","패널","패널(불안정)"),IF(N342="예비","예비","제외"))))</f>
        <v/>
      </c>
    </row>
    <row r="343" customFormat="false" ht="15" hidden="false" customHeight="false" outlineLevel="0" collapsed="false">
      <c r="A343" s="10" t="str">
        <f aca="false">'템플릿 문항'!A342</f>
        <v>Q339</v>
      </c>
      <c r="B343" s="10" t="str">
        <f aca="false">'템플릿 문항'!E342</f>
        <v>{지자체} 주거급여 지급 금액이 얼마인가요?</v>
      </c>
      <c r="C343" s="10" t="str">
        <f aca="false">'템플릿 문항'!H342</f>
        <v>고</v>
      </c>
      <c r="D343" s="20"/>
      <c r="E343" s="20"/>
      <c r="F343" s="21"/>
      <c r="G343" s="21"/>
      <c r="H343" s="21"/>
      <c r="I343" s="21" t="n">
        <v>5</v>
      </c>
      <c r="J343" s="20"/>
      <c r="K343" s="10" t="str">
        <f aca="false">IF(OR(D343="",E343=""),"",IF(AND(D343="적합",E343="적합"),"통과","미달"))</f>
        <v/>
      </c>
      <c r="L343" s="10" t="str">
        <f aca="false">IF(F343="","",IF(F343&gt;='검증 기준'!$B$5,"통과","미달"))</f>
        <v/>
      </c>
      <c r="M343" s="10" t="str">
        <f aca="false">IF(G343="","",IF(G343&lt;='검증 기준'!$B$6,"통과","불안정"))</f>
        <v/>
      </c>
      <c r="N343" s="10" t="str">
        <f aca="false">IF(OR(H343="",I343=""),"",IF(OR(AND(H343&gt;='검증 기준'!$B$7,H343&lt;=I343-'검증 기준'!$B$8),C343="고"),"통과","예비"))</f>
        <v/>
      </c>
      <c r="O343" s="10" t="str">
        <f aca="false">IF(J343="예","공급 공백",IF(OR(K343="",L343="",M343="",N343=""),"",IF(AND(K343="통과",L343="통과",N343="통과"),IF(M343="통과","패널","패널(불안정)"),IF(N343="예비","예비","제외"))))</f>
        <v/>
      </c>
    </row>
    <row r="344" customFormat="false" ht="15" hidden="false" customHeight="false" outlineLevel="0" collapsed="false">
      <c r="A344" s="10" t="str">
        <f aca="false">'템플릿 문항'!A343</f>
        <v>Q340</v>
      </c>
      <c r="B344" s="10" t="str">
        <f aca="false">'템플릿 문항'!E343</f>
        <v>{지자체} 주거급여 신청 서류가 뭔가요?</v>
      </c>
      <c r="C344" s="10" t="str">
        <f aca="false">'템플릿 문항'!H343</f>
        <v>고</v>
      </c>
      <c r="D344" s="20"/>
      <c r="E344" s="20"/>
      <c r="F344" s="21"/>
      <c r="G344" s="21"/>
      <c r="H344" s="21"/>
      <c r="I344" s="21" t="n">
        <v>5</v>
      </c>
      <c r="J344" s="20"/>
      <c r="K344" s="10" t="str">
        <f aca="false">IF(OR(D344="",E344=""),"",IF(AND(D344="적합",E344="적합"),"통과","미달"))</f>
        <v/>
      </c>
      <c r="L344" s="10" t="str">
        <f aca="false">IF(F344="","",IF(F344&gt;='검증 기준'!$B$5,"통과","미달"))</f>
        <v/>
      </c>
      <c r="M344" s="10" t="str">
        <f aca="false">IF(G344="","",IF(G344&lt;='검증 기준'!$B$6,"통과","불안정"))</f>
        <v/>
      </c>
      <c r="N344" s="10" t="str">
        <f aca="false">IF(OR(H344="",I344=""),"",IF(OR(AND(H344&gt;='검증 기준'!$B$7,H344&lt;=I344-'검증 기준'!$B$8),C344="고"),"통과","예비"))</f>
        <v/>
      </c>
      <c r="O344" s="10" t="str">
        <f aca="false">IF(J344="예","공급 공백",IF(OR(K344="",L344="",M344="",N344=""),"",IF(AND(K344="통과",L344="통과",N344="통과"),IF(M344="통과","패널","패널(불안정)"),IF(N344="예비","예비","제외"))))</f>
        <v/>
      </c>
    </row>
    <row r="345" customFormat="false" ht="15" hidden="false" customHeight="false" outlineLevel="0" collapsed="false">
      <c r="A345" s="10" t="str">
        <f aca="false">'템플릿 문항'!A344</f>
        <v>Q341</v>
      </c>
      <c r="B345" s="10" t="str">
        <f aca="false">'템플릿 문항'!E344</f>
        <v>{지자체} 소상공인 {소상공인지원} 지원이 있나요?</v>
      </c>
      <c r="C345" s="10" t="str">
        <f aca="false">'템플릿 문항'!H344</f>
        <v>중</v>
      </c>
      <c r="D345" s="20"/>
      <c r="E345" s="20"/>
      <c r="F345" s="21"/>
      <c r="G345" s="21"/>
      <c r="H345" s="21"/>
      <c r="I345" s="21" t="n">
        <v>5</v>
      </c>
      <c r="J345" s="20"/>
      <c r="K345" s="10" t="str">
        <f aca="false">IF(OR(D345="",E345=""),"",IF(AND(D345="적합",E345="적합"),"통과","미달"))</f>
        <v/>
      </c>
      <c r="L345" s="10" t="str">
        <f aca="false">IF(F345="","",IF(F345&gt;='검증 기준'!$B$5,"통과","미달"))</f>
        <v/>
      </c>
      <c r="M345" s="10" t="str">
        <f aca="false">IF(G345="","",IF(G345&lt;='검증 기준'!$B$6,"통과","불안정"))</f>
        <v/>
      </c>
      <c r="N345" s="10" t="str">
        <f aca="false">IF(OR(H345="",I345=""),"",IF(OR(AND(H345&gt;='검증 기준'!$B$7,H345&lt;=I345-'검증 기준'!$B$8),C345="고"),"통과","예비"))</f>
        <v/>
      </c>
      <c r="O345" s="10" t="str">
        <f aca="false">IF(J345="예","공급 공백",IF(OR(K345="",L345="",M345="",N345=""),"",IF(AND(K345="통과",L345="통과",N345="통과"),IF(M345="통과","패널","패널(불안정)"),IF(N345="예비","예비","제외"))))</f>
        <v/>
      </c>
    </row>
    <row r="346" customFormat="false" ht="15" hidden="false" customHeight="false" outlineLevel="0" collapsed="false">
      <c r="A346" s="10" t="str">
        <f aca="false">'템플릿 문항'!A345</f>
        <v>Q342</v>
      </c>
      <c r="B346" s="10" t="str">
        <f aca="false">'템플릿 문항'!E345</f>
        <v>{지자체} 소상공인 폐업 지원 금액이 얼마인가요?</v>
      </c>
      <c r="C346" s="10" t="str">
        <f aca="false">'템플릿 문항'!H345</f>
        <v>중</v>
      </c>
      <c r="D346" s="20"/>
      <c r="E346" s="20"/>
      <c r="F346" s="21"/>
      <c r="G346" s="21"/>
      <c r="H346" s="21"/>
      <c r="I346" s="21" t="n">
        <v>5</v>
      </c>
      <c r="J346" s="20"/>
      <c r="K346" s="10" t="str">
        <f aca="false">IF(OR(D346="",E346=""),"",IF(AND(D346="적합",E346="적합"),"통과","미달"))</f>
        <v/>
      </c>
      <c r="L346" s="10" t="str">
        <f aca="false">IF(F346="","",IF(F346&gt;='검증 기준'!$B$5,"통과","미달"))</f>
        <v/>
      </c>
      <c r="M346" s="10" t="str">
        <f aca="false">IF(G346="","",IF(G346&lt;='검증 기준'!$B$6,"통과","불안정"))</f>
        <v/>
      </c>
      <c r="N346" s="10" t="str">
        <f aca="false">IF(OR(H346="",I346=""),"",IF(OR(AND(H346&gt;='검증 기준'!$B$7,H346&lt;=I346-'검증 기준'!$B$8),C346="고"),"통과","예비"))</f>
        <v/>
      </c>
      <c r="O346" s="10" t="str">
        <f aca="false">IF(J346="예","공급 공백",IF(OR(K346="",L346="",M346="",N346=""),"",IF(AND(K346="통과",L346="통과",N346="통과"),IF(M346="통과","패널","패널(불안정)"),IF(N346="예비","예비","제외"))))</f>
        <v/>
      </c>
    </row>
    <row r="347" customFormat="false" ht="15" hidden="false" customHeight="false" outlineLevel="0" collapsed="false">
      <c r="A347" s="10" t="str">
        <f aca="false">'템플릿 문항'!A346</f>
        <v>Q343</v>
      </c>
      <c r="B347" s="10" t="str">
        <f aca="false">'템플릿 문항'!E346</f>
        <v>{지자체} 지역 기업 인증·우수 기업 지정 제도가 있나요?</v>
      </c>
      <c r="C347" s="10" t="str">
        <f aca="false">'템플릿 문항'!H346</f>
        <v>저</v>
      </c>
      <c r="D347" s="20"/>
      <c r="E347" s="20"/>
      <c r="F347" s="21"/>
      <c r="G347" s="21"/>
      <c r="H347" s="21"/>
      <c r="I347" s="21" t="n">
        <v>5</v>
      </c>
      <c r="J347" s="20"/>
      <c r="K347" s="10" t="str">
        <f aca="false">IF(OR(D347="",E347=""),"",IF(AND(D347="적합",E347="적합"),"통과","미달"))</f>
        <v/>
      </c>
      <c r="L347" s="10" t="str">
        <f aca="false">IF(F347="","",IF(F347&gt;='검증 기준'!$B$5,"통과","미달"))</f>
        <v/>
      </c>
      <c r="M347" s="10" t="str">
        <f aca="false">IF(G347="","",IF(G347&lt;='검증 기준'!$B$6,"통과","불안정"))</f>
        <v/>
      </c>
      <c r="N347" s="10" t="str">
        <f aca="false">IF(OR(H347="",I347=""),"",IF(OR(AND(H347&gt;='검증 기준'!$B$7,H347&lt;=I347-'검증 기준'!$B$8),C347="고"),"통과","예비"))</f>
        <v/>
      </c>
      <c r="O347" s="10" t="str">
        <f aca="false">IF(J347="예","공급 공백",IF(OR(K347="",L347="",M347="",N347=""),"",IF(AND(K347="통과",L347="통과",N347="통과"),IF(M347="통과","패널","패널(불안정)"),IF(N347="예비","예비","제외"))))</f>
        <v/>
      </c>
    </row>
    <row r="348" customFormat="false" ht="15" hidden="false" customHeight="false" outlineLevel="0" collapsed="false">
      <c r="A348" s="10" t="str">
        <f aca="false">'템플릿 문항'!A347</f>
        <v>Q344</v>
      </c>
      <c r="B348" s="10" t="str">
        <f aca="false">'템플릿 문항'!E347</f>
        <v>{지자체} 일자리센터 {서비스} 받으려면 어떻게 하나요?</v>
      </c>
      <c r="C348" s="10" t="str">
        <f aca="false">'템플릿 문항'!H347</f>
        <v>중</v>
      </c>
      <c r="D348" s="20"/>
      <c r="E348" s="20"/>
      <c r="F348" s="21"/>
      <c r="G348" s="21"/>
      <c r="H348" s="21"/>
      <c r="I348" s="21" t="n">
        <v>5</v>
      </c>
      <c r="J348" s="20"/>
      <c r="K348" s="10" t="str">
        <f aca="false">IF(OR(D348="",E348=""),"",IF(AND(D348="적합",E348="적합"),"통과","미달"))</f>
        <v/>
      </c>
      <c r="L348" s="10" t="str">
        <f aca="false">IF(F348="","",IF(F348&gt;='검증 기준'!$B$5,"통과","미달"))</f>
        <v/>
      </c>
      <c r="M348" s="10" t="str">
        <f aca="false">IF(G348="","",IF(G348&lt;='검증 기준'!$B$6,"통과","불안정"))</f>
        <v/>
      </c>
      <c r="N348" s="10" t="str">
        <f aca="false">IF(OR(H348="",I348=""),"",IF(OR(AND(H348&gt;='검증 기준'!$B$7,H348&lt;=I348-'검증 기준'!$B$8),C348="고"),"통과","예비"))</f>
        <v/>
      </c>
      <c r="O348" s="10" t="str">
        <f aca="false">IF(J348="예","공급 공백",IF(OR(K348="",L348="",M348="",N348=""),"",IF(AND(K348="통과",L348="통과",N348="통과"),IF(M348="통과","패널","패널(불안정)"),IF(N348="예비","예비","제외"))))</f>
        <v/>
      </c>
    </row>
    <row r="349" customFormat="false" ht="15" hidden="false" customHeight="false" outlineLevel="0" collapsed="false">
      <c r="A349" s="10" t="str">
        <f aca="false">'템플릿 문항'!A348</f>
        <v>Q345</v>
      </c>
      <c r="B349" s="10" t="str">
        <f aca="false">'템플릿 문항'!E348</f>
        <v>{지자체} 공공근로 신청 시기가 언제인가요?</v>
      </c>
      <c r="C349" s="10" t="str">
        <f aca="false">'템플릿 문항'!H348</f>
        <v>중</v>
      </c>
      <c r="D349" s="20"/>
      <c r="E349" s="20"/>
      <c r="F349" s="21"/>
      <c r="G349" s="21"/>
      <c r="H349" s="21"/>
      <c r="I349" s="21" t="n">
        <v>5</v>
      </c>
      <c r="J349" s="20"/>
      <c r="K349" s="10" t="str">
        <f aca="false">IF(OR(D349="",E349=""),"",IF(AND(D349="적합",E349="적합"),"통과","미달"))</f>
        <v/>
      </c>
      <c r="L349" s="10" t="str">
        <f aca="false">IF(F349="","",IF(F349&gt;='검증 기준'!$B$5,"통과","미달"))</f>
        <v/>
      </c>
      <c r="M349" s="10" t="str">
        <f aca="false">IF(G349="","",IF(G349&lt;='검증 기준'!$B$6,"통과","불안정"))</f>
        <v/>
      </c>
      <c r="N349" s="10" t="str">
        <f aca="false">IF(OR(H349="",I349=""),"",IF(OR(AND(H349&gt;='검증 기준'!$B$7,H349&lt;=I349-'검증 기준'!$B$8),C349="고"),"통과","예비"))</f>
        <v/>
      </c>
      <c r="O349" s="10" t="str">
        <f aca="false">IF(J349="예","공급 공백",IF(OR(K349="",L349="",M349="",N349=""),"",IF(AND(K349="통과",L349="통과",N349="통과"),IF(M349="통과","패널","패널(불안정)"),IF(N349="예비","예비","제외"))))</f>
        <v/>
      </c>
    </row>
    <row r="350" customFormat="false" ht="15" hidden="false" customHeight="false" outlineLevel="0" collapsed="false">
      <c r="A350" s="10" t="str">
        <f aca="false">'템플릿 문항'!A349</f>
        <v>Q346</v>
      </c>
      <c r="B350" s="10" t="str">
        <f aca="false">'템플릿 문항'!E349</f>
        <v>{지자체} 공공근로 급여가 얼마인가요?</v>
      </c>
      <c r="C350" s="10" t="str">
        <f aca="false">'템플릿 문항'!H349</f>
        <v>중</v>
      </c>
      <c r="D350" s="20"/>
      <c r="E350" s="20"/>
      <c r="F350" s="21"/>
      <c r="G350" s="21"/>
      <c r="H350" s="21"/>
      <c r="I350" s="21" t="n">
        <v>5</v>
      </c>
      <c r="J350" s="20"/>
      <c r="K350" s="10" t="str">
        <f aca="false">IF(OR(D350="",E350=""),"",IF(AND(D350="적합",E350="적합"),"통과","미달"))</f>
        <v/>
      </c>
      <c r="L350" s="10" t="str">
        <f aca="false">IF(F350="","",IF(F350&gt;='검증 기준'!$B$5,"통과","미달"))</f>
        <v/>
      </c>
      <c r="M350" s="10" t="str">
        <f aca="false">IF(G350="","",IF(G350&lt;='검증 기준'!$B$6,"통과","불안정"))</f>
        <v/>
      </c>
      <c r="N350" s="10" t="str">
        <f aca="false">IF(OR(H350="",I350=""),"",IF(OR(AND(H350&gt;='검증 기준'!$B$7,H350&lt;=I350-'검증 기준'!$B$8),C350="고"),"통과","예비"))</f>
        <v/>
      </c>
      <c r="O350" s="10" t="str">
        <f aca="false">IF(J350="예","공급 공백",IF(OR(K350="",L350="",M350="",N350=""),"",IF(AND(K350="통과",L350="통과",N350="통과"),IF(M350="통과","패널","패널(불안정)"),IF(N350="예비","예비","제외"))))</f>
        <v/>
      </c>
    </row>
    <row r="351" customFormat="false" ht="15" hidden="false" customHeight="false" outlineLevel="0" collapsed="false">
      <c r="A351" s="10" t="str">
        <f aca="false">'템플릿 문항'!A350</f>
        <v>Q347</v>
      </c>
      <c r="B351" s="10" t="str">
        <f aca="false">'템플릿 문항'!E350</f>
        <v>{지자체} 농업기술센터는 어디에 있나요?</v>
      </c>
      <c r="C351" s="10" t="str">
        <f aca="false">'템플릿 문항'!H350</f>
        <v>저</v>
      </c>
      <c r="D351" s="20"/>
      <c r="E351" s="20"/>
      <c r="F351" s="21"/>
      <c r="G351" s="21"/>
      <c r="H351" s="21"/>
      <c r="I351" s="21" t="n">
        <v>5</v>
      </c>
      <c r="J351" s="20"/>
      <c r="K351" s="10" t="str">
        <f aca="false">IF(OR(D351="",E351=""),"",IF(AND(D351="적합",E351="적합"),"통과","미달"))</f>
        <v/>
      </c>
      <c r="L351" s="10" t="str">
        <f aca="false">IF(F351="","",IF(F351&gt;='검증 기준'!$B$5,"통과","미달"))</f>
        <v/>
      </c>
      <c r="M351" s="10" t="str">
        <f aca="false">IF(G351="","",IF(G351&lt;='검증 기준'!$B$6,"통과","불안정"))</f>
        <v/>
      </c>
      <c r="N351" s="10" t="str">
        <f aca="false">IF(OR(H351="",I351=""),"",IF(OR(AND(H351&gt;='검증 기준'!$B$7,H351&lt;=I351-'검증 기준'!$B$8),C351="고"),"통과","예비"))</f>
        <v/>
      </c>
      <c r="O351" s="10" t="str">
        <f aca="false">IF(J351="예","공급 공백",IF(OR(K351="",L351="",M351="",N351=""),"",IF(AND(K351="통과",L351="통과",N351="통과"),IF(M351="통과","패널","패널(불안정)"),IF(N351="예비","예비","제외"))))</f>
        <v/>
      </c>
    </row>
    <row r="352" customFormat="false" ht="15" hidden="false" customHeight="false" outlineLevel="0" collapsed="false">
      <c r="A352" s="10" t="str">
        <f aca="false">'템플릿 문항'!A351</f>
        <v>Q348</v>
      </c>
      <c r="B352" s="10" t="str">
        <f aca="false">'템플릿 문항'!E351</f>
        <v>{지자체} {시장} 장보기 배송 서비스가 있나요?</v>
      </c>
      <c r="C352" s="10" t="str">
        <f aca="false">'템플릿 문항'!H351</f>
        <v>저</v>
      </c>
      <c r="D352" s="20"/>
      <c r="E352" s="20"/>
      <c r="F352" s="21"/>
      <c r="G352" s="21"/>
      <c r="H352" s="21"/>
      <c r="I352" s="21" t="n">
        <v>5</v>
      </c>
      <c r="J352" s="20"/>
      <c r="K352" s="10" t="str">
        <f aca="false">IF(OR(D352="",E352=""),"",IF(AND(D352="적합",E352="적합"),"통과","미달"))</f>
        <v/>
      </c>
      <c r="L352" s="10" t="str">
        <f aca="false">IF(F352="","",IF(F352&gt;='검증 기준'!$B$5,"통과","미달"))</f>
        <v/>
      </c>
      <c r="M352" s="10" t="str">
        <f aca="false">IF(G352="","",IF(G352&lt;='검증 기준'!$B$6,"통과","불안정"))</f>
        <v/>
      </c>
      <c r="N352" s="10" t="str">
        <f aca="false">IF(OR(H352="",I352=""),"",IF(OR(AND(H352&gt;='검증 기준'!$B$7,H352&lt;=I352-'검증 기준'!$B$8),C352="고"),"통과","예비"))</f>
        <v/>
      </c>
      <c r="O352" s="10" t="str">
        <f aca="false">IF(J352="예","공급 공백",IF(OR(K352="",L352="",M352="",N352=""),"",IF(AND(K352="통과",L352="통과",N352="통과"),IF(M352="통과","패널","패널(불안정)"),IF(N352="예비","예비","제외"))))</f>
        <v/>
      </c>
    </row>
    <row r="353" customFormat="false" ht="15" hidden="false" customHeight="false" outlineLevel="0" collapsed="false">
      <c r="A353" s="10" t="str">
        <f aca="false">'템플릿 문항'!A352</f>
        <v>Q349</v>
      </c>
      <c r="B353" s="10" t="str">
        <f aca="false">'템플릿 문항'!E352</f>
        <v>{지자체} 전통시장 야시장은 언제 열리나요?</v>
      </c>
      <c r="C353" s="10" t="str">
        <f aca="false">'템플릿 문항'!H352</f>
        <v>저</v>
      </c>
      <c r="D353" s="20"/>
      <c r="E353" s="20"/>
      <c r="F353" s="21"/>
      <c r="G353" s="21"/>
      <c r="H353" s="21"/>
      <c r="I353" s="21" t="n">
        <v>5</v>
      </c>
      <c r="J353" s="20"/>
      <c r="K353" s="10" t="str">
        <f aca="false">IF(OR(D353="",E353=""),"",IF(AND(D353="적합",E353="적합"),"통과","미달"))</f>
        <v/>
      </c>
      <c r="L353" s="10" t="str">
        <f aca="false">IF(F353="","",IF(F353&gt;='검증 기준'!$B$5,"통과","미달"))</f>
        <v/>
      </c>
      <c r="M353" s="10" t="str">
        <f aca="false">IF(G353="","",IF(G353&lt;='검증 기준'!$B$6,"통과","불안정"))</f>
        <v/>
      </c>
      <c r="N353" s="10" t="str">
        <f aca="false">IF(OR(H353="",I353=""),"",IF(OR(AND(H353&gt;='검증 기준'!$B$7,H353&lt;=I353-'검증 기준'!$B$8),C353="고"),"통과","예비"))</f>
        <v/>
      </c>
      <c r="O353" s="10" t="str">
        <f aca="false">IF(J353="예","공급 공백",IF(OR(K353="",L353="",M353="",N353=""),"",IF(AND(K353="통과",L353="통과",N353="통과"),IF(M353="통과","패널","패널(불안정)"),IF(N353="예비","예비","제외"))))</f>
        <v/>
      </c>
    </row>
    <row r="354" customFormat="false" ht="15" hidden="false" customHeight="false" outlineLevel="0" collapsed="false">
      <c r="A354" s="10" t="str">
        <f aca="false">'템플릿 문항'!A353</f>
        <v>Q350</v>
      </c>
      <c r="B354" s="10" t="str">
        <f aca="false">'템플릿 문항'!E353</f>
        <v>{지자체} {창업대상} 창업 지원 사업이 있나요?</v>
      </c>
      <c r="C354" s="10" t="str">
        <f aca="false">'템플릿 문항'!H353</f>
        <v>중</v>
      </c>
      <c r="D354" s="20"/>
      <c r="E354" s="20"/>
      <c r="F354" s="21"/>
      <c r="G354" s="21"/>
      <c r="H354" s="21"/>
      <c r="I354" s="21" t="n">
        <v>5</v>
      </c>
      <c r="J354" s="20"/>
      <c r="K354" s="10" t="str">
        <f aca="false">IF(OR(D354="",E354=""),"",IF(AND(D354="적합",E354="적합"),"통과","미달"))</f>
        <v/>
      </c>
      <c r="L354" s="10" t="str">
        <f aca="false">IF(F354="","",IF(F354&gt;='검증 기준'!$B$5,"통과","미달"))</f>
        <v/>
      </c>
      <c r="M354" s="10" t="str">
        <f aca="false">IF(G354="","",IF(G354&lt;='검증 기준'!$B$6,"통과","불안정"))</f>
        <v/>
      </c>
      <c r="N354" s="10" t="str">
        <f aca="false">IF(OR(H354="",I354=""),"",IF(OR(AND(H354&gt;='검증 기준'!$B$7,H354&lt;=I354-'검증 기준'!$B$8),C354="고"),"통과","예비"))</f>
        <v/>
      </c>
      <c r="O354" s="10" t="str">
        <f aca="false">IF(J354="예","공급 공백",IF(OR(K354="",L354="",M354="",N354=""),"",IF(AND(K354="통과",L354="통과",N354="통과"),IF(M354="통과","패널","패널(불안정)"),IF(N354="예비","예비","제외"))))</f>
        <v/>
      </c>
    </row>
    <row r="355" customFormat="false" ht="15" hidden="false" customHeight="false" outlineLevel="0" collapsed="false">
      <c r="A355" s="10" t="str">
        <f aca="false">'템플릿 문항'!A354</f>
        <v>Q351</v>
      </c>
      <c r="B355" s="10" t="str">
        <f aca="false">'템플릿 문항'!E354</f>
        <v>{지자체} 창업 지원금 지원 금액이 얼마인가요?</v>
      </c>
      <c r="C355" s="10" t="str">
        <f aca="false">'템플릿 문항'!H354</f>
        <v>중</v>
      </c>
      <c r="D355" s="20"/>
      <c r="E355" s="20"/>
      <c r="F355" s="21"/>
      <c r="G355" s="21"/>
      <c r="H355" s="21"/>
      <c r="I355" s="21" t="n">
        <v>5</v>
      </c>
      <c r="J355" s="20"/>
      <c r="K355" s="10" t="str">
        <f aca="false">IF(OR(D355="",E355=""),"",IF(AND(D355="적합",E355="적합"),"통과","미달"))</f>
        <v/>
      </c>
      <c r="L355" s="10" t="str">
        <f aca="false">IF(F355="","",IF(F355&gt;='검증 기준'!$B$5,"통과","미달"))</f>
        <v/>
      </c>
      <c r="M355" s="10" t="str">
        <f aca="false">IF(G355="","",IF(G355&lt;='검증 기준'!$B$6,"통과","불안정"))</f>
        <v/>
      </c>
      <c r="N355" s="10" t="str">
        <f aca="false">IF(OR(H355="",I355=""),"",IF(OR(AND(H355&gt;='검증 기준'!$B$7,H355&lt;=I355-'검증 기준'!$B$8),C355="고"),"통과","예비"))</f>
        <v/>
      </c>
      <c r="O355" s="10" t="str">
        <f aca="false">IF(J355="예","공급 공백",IF(OR(K355="",L355="",M355="",N355=""),"",IF(AND(K355="통과",L355="통과",N355="통과"),IF(M355="통과","패널","패널(불안정)"),IF(N355="예비","예비","제외"))))</f>
        <v/>
      </c>
    </row>
    <row r="356" customFormat="false" ht="15" hidden="false" customHeight="false" outlineLevel="0" collapsed="false">
      <c r="A356" s="10" t="str">
        <f aca="false">'템플릿 문항'!A355</f>
        <v>Q352</v>
      </c>
      <c r="B356" s="10" t="str">
        <f aca="false">'템플릿 문항'!E355</f>
        <v>{지자체} {세목} 감면 대상이 누구인가요?</v>
      </c>
      <c r="C356" s="10" t="str">
        <f aca="false">'템플릿 문항'!H355</f>
        <v>중</v>
      </c>
      <c r="D356" s="20"/>
      <c r="E356" s="20"/>
      <c r="F356" s="21"/>
      <c r="G356" s="21"/>
      <c r="H356" s="21"/>
      <c r="I356" s="21" t="n">
        <v>5</v>
      </c>
      <c r="J356" s="20"/>
      <c r="K356" s="10" t="str">
        <f aca="false">IF(OR(D356="",E356=""),"",IF(AND(D356="적합",E356="적합"),"통과","미달"))</f>
        <v/>
      </c>
      <c r="L356" s="10" t="str">
        <f aca="false">IF(F356="","",IF(F356&gt;='검증 기준'!$B$5,"통과","미달"))</f>
        <v/>
      </c>
      <c r="M356" s="10" t="str">
        <f aca="false">IF(G356="","",IF(G356&lt;='검증 기준'!$B$6,"통과","불안정"))</f>
        <v/>
      </c>
      <c r="N356" s="10" t="str">
        <f aca="false">IF(OR(H356="",I356=""),"",IF(OR(AND(H356&gt;='검증 기준'!$B$7,H356&lt;=I356-'검증 기준'!$B$8),C356="고"),"통과","예비"))</f>
        <v/>
      </c>
      <c r="O356" s="10" t="str">
        <f aca="false">IF(J356="예","공급 공백",IF(OR(K356="",L356="",M356="",N356=""),"",IF(AND(K356="통과",L356="통과",N356="통과"),IF(M356="통과","패널","패널(불안정)"),IF(N356="예비","예비","제외"))))</f>
        <v/>
      </c>
    </row>
    <row r="357" customFormat="false" ht="15" hidden="false" customHeight="false" outlineLevel="0" collapsed="false">
      <c r="A357" s="10" t="str">
        <f aca="false">'템플릿 문항'!A356</f>
        <v>Q353</v>
      </c>
      <c r="B357" s="10" t="str">
        <f aca="false">'템플릿 문항'!E356</f>
        <v>{지자체} {동} 작은도서관이 어디인가요?</v>
      </c>
      <c r="C357" s="10" t="str">
        <f aca="false">'템플릿 문항'!H356</f>
        <v>저</v>
      </c>
      <c r="D357" s="20"/>
      <c r="E357" s="20"/>
      <c r="F357" s="21"/>
      <c r="G357" s="21"/>
      <c r="H357" s="21"/>
      <c r="I357" s="21" t="n">
        <v>5</v>
      </c>
      <c r="J357" s="20"/>
      <c r="K357" s="10" t="str">
        <f aca="false">IF(OR(D357="",E357=""),"",IF(AND(D357="적합",E357="적합"),"통과","미달"))</f>
        <v/>
      </c>
      <c r="L357" s="10" t="str">
        <f aca="false">IF(F357="","",IF(F357&gt;='검증 기준'!$B$5,"통과","미달"))</f>
        <v/>
      </c>
      <c r="M357" s="10" t="str">
        <f aca="false">IF(G357="","",IF(G357&lt;='검증 기준'!$B$6,"통과","불안정"))</f>
        <v/>
      </c>
      <c r="N357" s="10" t="str">
        <f aca="false">IF(OR(H357="",I357=""),"",IF(OR(AND(H357&gt;='검증 기준'!$B$7,H357&lt;=I357-'검증 기준'!$B$8),C357="고"),"통과","예비"))</f>
        <v/>
      </c>
      <c r="O357" s="10" t="str">
        <f aca="false">IF(J357="예","공급 공백",IF(OR(K357="",L357="",M357="",N357=""),"",IF(AND(K357="통과",L357="통과",N357="통과"),IF(M357="통과","패널","패널(불안정)"),IF(N357="예비","예비","제외"))))</f>
        <v/>
      </c>
    </row>
    <row r="358" customFormat="false" ht="15" hidden="false" customHeight="false" outlineLevel="0" collapsed="false">
      <c r="A358" s="10" t="str">
        <f aca="false">'템플릿 문항'!A357</f>
        <v>Q354</v>
      </c>
      <c r="B358" s="10" t="str">
        <f aca="false">'템플릿 문항'!E357</f>
        <v>{지자체} 유기동물 보호소 운영 시간이 언제인가요?</v>
      </c>
      <c r="C358" s="10" t="str">
        <f aca="false">'템플릿 문항'!H357</f>
        <v>중</v>
      </c>
      <c r="D358" s="20"/>
      <c r="E358" s="20"/>
      <c r="F358" s="21"/>
      <c r="G358" s="21"/>
      <c r="H358" s="21"/>
      <c r="I358" s="21" t="n">
        <v>5</v>
      </c>
      <c r="J358" s="20"/>
      <c r="K358" s="10" t="str">
        <f aca="false">IF(OR(D358="",E358=""),"",IF(AND(D358="적합",E358="적합"),"통과","미달"))</f>
        <v/>
      </c>
      <c r="L358" s="10" t="str">
        <f aca="false">IF(F358="","",IF(F358&gt;='검증 기준'!$B$5,"통과","미달"))</f>
        <v/>
      </c>
      <c r="M358" s="10" t="str">
        <f aca="false">IF(G358="","",IF(G358&lt;='검증 기준'!$B$6,"통과","불안정"))</f>
        <v/>
      </c>
      <c r="N358" s="10" t="str">
        <f aca="false">IF(OR(H358="",I358=""),"",IF(OR(AND(H358&gt;='검증 기준'!$B$7,H358&lt;=I358-'검증 기준'!$B$8),C358="고"),"통과","예비"))</f>
        <v/>
      </c>
      <c r="O358" s="10" t="str">
        <f aca="false">IF(J358="예","공급 공백",IF(OR(K358="",L358="",M358="",N358=""),"",IF(AND(K358="통과",L358="통과",N358="통과"),IF(M358="통과","패널","패널(불안정)"),IF(N358="예비","예비","제외"))))</f>
        <v/>
      </c>
    </row>
    <row r="359" customFormat="false" ht="15" hidden="false" customHeight="false" outlineLevel="0" collapsed="false">
      <c r="A359" s="10" t="str">
        <f aca="false">'템플릿 문항'!A358</f>
        <v>Q355</v>
      </c>
      <c r="B359" s="10" t="str">
        <f aca="false">'템플릿 문항'!E358</f>
        <v>{지자체} 유기동물 보호소 전화번호가 뭔가요?</v>
      </c>
      <c r="C359" s="10" t="str">
        <f aca="false">'템플릿 문항'!H358</f>
        <v>중</v>
      </c>
      <c r="D359" s="20"/>
      <c r="E359" s="20"/>
      <c r="F359" s="21"/>
      <c r="G359" s="21"/>
      <c r="H359" s="21"/>
      <c r="I359" s="21" t="n">
        <v>5</v>
      </c>
      <c r="J359" s="20"/>
      <c r="K359" s="10" t="str">
        <f aca="false">IF(OR(D359="",E359=""),"",IF(AND(D359="적합",E359="적합"),"통과","미달"))</f>
        <v/>
      </c>
      <c r="L359" s="10" t="str">
        <f aca="false">IF(F359="","",IF(F359&gt;='검증 기준'!$B$5,"통과","미달"))</f>
        <v/>
      </c>
      <c r="M359" s="10" t="str">
        <f aca="false">IF(G359="","",IF(G359&lt;='검증 기준'!$B$6,"통과","불안정"))</f>
        <v/>
      </c>
      <c r="N359" s="10" t="str">
        <f aca="false">IF(OR(H359="",I359=""),"",IF(OR(AND(H359&gt;='검증 기준'!$B$7,H359&lt;=I359-'검증 기준'!$B$8),C359="고"),"통과","예비"))</f>
        <v/>
      </c>
      <c r="O359" s="10" t="str">
        <f aca="false">IF(J359="예","공급 공백",IF(OR(K359="",L359="",M359="",N359=""),"",IF(AND(K359="통과",L359="통과",N359="통과"),IF(M359="통과","패널","패널(불안정)"),IF(N359="예비","예비","제외"))))</f>
        <v/>
      </c>
    </row>
    <row r="360" customFormat="false" ht="15" hidden="false" customHeight="false" outlineLevel="0" collapsed="false">
      <c r="A360" s="10" t="str">
        <f aca="false">'템플릿 문항'!A359</f>
        <v>Q356</v>
      </c>
      <c r="B360" s="10" t="str">
        <f aca="false">'템플릿 문항'!E359</f>
        <v>{지자체} 반려견 놀이터는 어디에 있나요?</v>
      </c>
      <c r="C360" s="10" t="str">
        <f aca="false">'템플릿 문항'!H359</f>
        <v>저</v>
      </c>
      <c r="D360" s="20"/>
      <c r="E360" s="20"/>
      <c r="F360" s="21"/>
      <c r="G360" s="21"/>
      <c r="H360" s="21"/>
      <c r="I360" s="21" t="n">
        <v>5</v>
      </c>
      <c r="J360" s="20"/>
      <c r="K360" s="10" t="str">
        <f aca="false">IF(OR(D360="",E360=""),"",IF(AND(D360="적합",E360="적합"),"통과","미달"))</f>
        <v/>
      </c>
      <c r="L360" s="10" t="str">
        <f aca="false">IF(F360="","",IF(F360&gt;='검증 기준'!$B$5,"통과","미달"))</f>
        <v/>
      </c>
      <c r="M360" s="10" t="str">
        <f aca="false">IF(G360="","",IF(G360&lt;='검증 기준'!$B$6,"통과","불안정"))</f>
        <v/>
      </c>
      <c r="N360" s="10" t="str">
        <f aca="false">IF(OR(H360="",I360=""),"",IF(OR(AND(H360&gt;='검증 기준'!$B$7,H360&lt;=I360-'검증 기준'!$B$8),C360="고"),"통과","예비"))</f>
        <v/>
      </c>
      <c r="O360" s="10" t="str">
        <f aca="false">IF(J360="예","공급 공백",IF(OR(K360="",L360="",M360="",N360=""),"",IF(AND(K360="통과",L360="통과",N360="통과"),IF(M360="통과","패널","패널(불안정)"),IF(N360="예비","예비","제외"))))</f>
        <v/>
      </c>
    </row>
    <row r="361" customFormat="false" ht="15" hidden="false" customHeight="false" outlineLevel="0" collapsed="false">
      <c r="A361" s="10" t="str">
        <f aca="false">'템플릿 문항'!A360</f>
        <v>Q357</v>
      </c>
      <c r="B361" s="10" t="str">
        <f aca="false">'템플릿 문항'!E360</f>
        <v>{지자체} 가로등 번호로 고장 신고하는 방법이 뭔가요?</v>
      </c>
      <c r="C361" s="10" t="str">
        <f aca="false">'템플릿 문항'!H360</f>
        <v>저</v>
      </c>
      <c r="D361" s="20"/>
      <c r="E361" s="20"/>
      <c r="F361" s="21"/>
      <c r="G361" s="21"/>
      <c r="H361" s="21"/>
      <c r="I361" s="21" t="n">
        <v>5</v>
      </c>
      <c r="J361" s="20"/>
      <c r="K361" s="10" t="str">
        <f aca="false">IF(OR(D361="",E361=""),"",IF(AND(D361="적합",E361="적합"),"통과","미달"))</f>
        <v/>
      </c>
      <c r="L361" s="10" t="str">
        <f aca="false">IF(F361="","",IF(F361&gt;='검증 기준'!$B$5,"통과","미달"))</f>
        <v/>
      </c>
      <c r="M361" s="10" t="str">
        <f aca="false">IF(G361="","",IF(G361&lt;='검증 기준'!$B$6,"통과","불안정"))</f>
        <v/>
      </c>
      <c r="N361" s="10" t="str">
        <f aca="false">IF(OR(H361="",I361=""),"",IF(OR(AND(H361&gt;='검증 기준'!$B$7,H361&lt;=I361-'검증 기준'!$B$8),C361="고"),"통과","예비"))</f>
        <v/>
      </c>
      <c r="O361" s="10" t="str">
        <f aca="false">IF(J361="예","공급 공백",IF(OR(K361="",L361="",M361="",N361=""),"",IF(AND(K361="통과",L361="통과",N361="통과"),IF(M361="통과","패널","패널(불안정)"),IF(N361="예비","예비","제외"))))</f>
        <v/>
      </c>
    </row>
    <row r="363" customFormat="false" ht="15" hidden="false" customHeight="false" outlineLevel="0" collapsed="false">
      <c r="A363" s="3" t="s">
        <v>1314</v>
      </c>
    </row>
    <row r="364" customFormat="false" ht="15" hidden="false" customHeight="false" outlineLevel="0" collapsed="false">
      <c r="A364" s="7" t="s">
        <v>1315</v>
      </c>
      <c r="B364" s="17" t="n">
        <f aca="false">COUNTIF(O5:O361,"패널")</f>
        <v>1</v>
      </c>
    </row>
    <row r="365" customFormat="false" ht="15" hidden="false" customHeight="false" outlineLevel="0" collapsed="false">
      <c r="A365" s="7" t="s">
        <v>1316</v>
      </c>
      <c r="B365" s="17" t="n">
        <f aca="false">COUNTIF(O5:O361,"패널(불안정)")</f>
        <v>0</v>
      </c>
    </row>
    <row r="366" customFormat="false" ht="15" hidden="false" customHeight="false" outlineLevel="0" collapsed="false">
      <c r="A366" s="7" t="s">
        <v>1317</v>
      </c>
      <c r="B366" s="17" t="n">
        <f aca="false">COUNTIF(O5:O361,"예비")</f>
        <v>0</v>
      </c>
    </row>
    <row r="367" customFormat="false" ht="15" hidden="false" customHeight="false" outlineLevel="0" collapsed="false">
      <c r="A367" s="7" t="s">
        <v>1318</v>
      </c>
      <c r="B367" s="17" t="n">
        <f aca="false">COUNTIF(O5:O361,"제외")</f>
        <v>0</v>
      </c>
    </row>
    <row r="368" customFormat="false" ht="15" hidden="false" customHeight="false" outlineLevel="0" collapsed="false">
      <c r="A368" s="7" t="s">
        <v>1306</v>
      </c>
      <c r="B368" s="17" t="n">
        <f aca="false">COUNTIF(O5:O361,"공급 공백")</f>
        <v>0</v>
      </c>
    </row>
    <row r="369" customFormat="false" ht="15" hidden="false" customHeight="false" outlineLevel="0" collapsed="false">
      <c r="A369" s="7" t="s">
        <v>1319</v>
      </c>
      <c r="B369" s="17" t="n">
        <f aca="false">COUNTBLANK(O5:O361)</f>
        <v>356</v>
      </c>
    </row>
    <row r="371" customFormat="false" ht="15" hidden="false" customHeight="false" outlineLevel="0" collapsed="false">
      <c r="A371" s="7" t="s">
        <v>1320</v>
      </c>
      <c r="B371" s="17" t="n">
        <f aca="false">SUMPRODUCT((O5:O361="패널")*'템플릿 문항'!I4:I360)</f>
        <v>1</v>
      </c>
    </row>
  </sheetData>
  <dataValidations count="2">
    <dataValidation allowBlank="true" errorStyle="stop" operator="between" showDropDown="false" showErrorMessage="false" showInputMessage="false" sqref="D5:E361" type="list">
      <formula1>"적합,부적합"</formula1>
      <formula2>0</formula2>
    </dataValidation>
    <dataValidation allowBlank="true" errorStyle="stop" operator="between" showDropDown="false" showErrorMessage="false" showInputMessage="false" sqref="J5:J361" type="list">
      <formula1>"예,아니오"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2026-10-08T06:21:31Z</dcterms:created>
  <dc:creator>openpyxl</dc:creator>
  <dc:description/>
  <dc:language>en-US</dc:language>
  <cp:lastModifiedBy/>
  <dcterms:modified xsi:type="dcterms:W3CDTF">2026-10-08T06:21:32Z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