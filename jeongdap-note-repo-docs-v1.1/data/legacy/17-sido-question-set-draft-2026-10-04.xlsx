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Sheet" sheetId="2" state="visible" r:id="rId4"/>
    <sheet name="공통 30" sheetId="3" state="visible" r:id="rId5"/>
    <sheet name="유형별 특화 20" sheetId="4" state="visible" r:id="rId6"/>
    <sheet name="17개 시·도" sheetId="5" state="visible" r:id="rId7"/>
    <sheet name="판정·등급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<sst xmlns="http://schemas.openxmlformats.org/spreadsheetml/2006/main" count="1065" uniqueCount="455">
  <si>
    <r>
      <rPr>
        <b val="true"/>
        <sz val="14"/>
        <color rgb="FF14213D"/>
        <rFont val="Arial"/>
        <family val="0"/>
        <charset val="1"/>
      </rPr>
      <t xml:space="preserve">17</t>
    </r>
    <r>
      <rPr>
        <b val="true"/>
        <sz val="14"/>
        <color rgb="FF14213D"/>
        <rFont val="Noto Sans CJK SC"/>
        <family val="2"/>
      </rPr>
      <t xml:space="preserve">개 시</t>
    </r>
    <r>
      <rPr>
        <b val="true"/>
        <sz val="14"/>
        <color rgb="FF14213D"/>
        <rFont val="Arial"/>
        <family val="0"/>
        <charset val="1"/>
      </rPr>
      <t xml:space="preserve">·</t>
    </r>
    <r>
      <rPr>
        <b val="true"/>
        <sz val="14"/>
        <color rgb="FF14213D"/>
        <rFont val="Noto Sans CJK SC"/>
        <family val="2"/>
      </rPr>
      <t xml:space="preserve">도 질문 세트 초안 — 요약</t>
    </r>
  </si>
  <si>
    <r>
      <rPr>
        <i val="true"/>
        <sz val="10"/>
        <color rgb="FF4A5361"/>
        <rFont val="Noto Sans CJK SC"/>
        <family val="2"/>
      </rPr>
      <t xml:space="preserve">모두의 질문노트 </t>
    </r>
    <r>
      <rPr>
        <i val="true"/>
        <sz val="10"/>
        <color rgb="FF4A5361"/>
        <rFont val="Arial"/>
        <family val="0"/>
        <charset val="1"/>
      </rPr>
      <t xml:space="preserve">· AI</t>
    </r>
    <r>
      <rPr>
        <i val="true"/>
        <sz val="10"/>
        <color rgb="FF4A5361"/>
        <rFont val="Noto Sans CJK SC"/>
        <family val="2"/>
      </rPr>
      <t xml:space="preserve">가 아는 대한민국 </t>
    </r>
    <r>
      <rPr>
        <i val="true"/>
        <sz val="10"/>
        <color rgb="FF4A5361"/>
        <rFont val="Arial"/>
        <family val="0"/>
        <charset val="1"/>
      </rPr>
      <t xml:space="preserve">· 2026-10-02 · </t>
    </r>
    <r>
      <rPr>
        <i val="true"/>
        <sz val="10"/>
        <color rgb="FF4A5361"/>
        <rFont val="Noto Sans CJK SC"/>
        <family val="2"/>
      </rPr>
      <t xml:space="preserve">초안 </t>
    </r>
    <r>
      <rPr>
        <i val="true"/>
        <sz val="10"/>
        <color rgb="FF4A5361"/>
        <rFont val="Arial"/>
        <family val="0"/>
        <charset val="1"/>
      </rPr>
      <t xml:space="preserve">(</t>
    </r>
    <r>
      <rPr>
        <i val="true"/>
        <sz val="10"/>
        <color rgb="FF4A5361"/>
        <rFont val="Noto Sans CJK SC"/>
        <family val="2"/>
      </rPr>
      <t xml:space="preserve">정답은 측정 때 원본 대조로 확정</t>
    </r>
    <r>
      <rPr>
        <i val="true"/>
        <sz val="10"/>
        <color rgb="FF4A5361"/>
        <rFont val="Arial"/>
        <family val="0"/>
        <charset val="1"/>
      </rPr>
      <t xml:space="preserve">)</t>
    </r>
  </si>
  <si>
    <t xml:space="preserve">구성</t>
  </si>
  <si>
    <t xml:space="preserve">값</t>
  </si>
  <si>
    <t xml:space="preserve">측정 규모 가정</t>
  </si>
  <si>
    <t xml:space="preserve">항목</t>
  </si>
  <si>
    <t xml:space="preserve">수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</si>
  <si>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서비스 수</t>
    </r>
  </si>
  <si>
    <t xml:space="preserve">공통 질문 수</t>
  </si>
  <si>
    <r>
      <rPr>
        <sz val="10"/>
        <rFont val="Noto Sans CJK SC"/>
        <family val="2"/>
      </rPr>
      <t xml:space="preserve">예비판 언어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</si>
  <si>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특화 질문 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</si>
  <si>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수능 주간 최대 언어 수</t>
  </si>
  <si>
    <t xml:space="preserve">공통 중 공공 원본 자동 확인 가능</t>
  </si>
  <si>
    <t xml:space="preserve">같은 질문 반복 횟수</t>
  </si>
  <si>
    <t xml:space="preserve">공통 중 유효 구간 민감도 상</t>
  </si>
  <si>
    <r>
      <rPr>
        <sz val="10"/>
        <rFont val="Arial"/>
        <family val="0"/>
        <charset val="1"/>
      </rPr>
      <t xml:space="preserve">11/1 </t>
    </r>
    <r>
      <rPr>
        <sz val="10"/>
        <rFont val="Noto Sans CJK SC"/>
        <family val="2"/>
      </rPr>
      <t xml:space="preserve">예비판 문항</t>
    </r>
  </si>
  <si>
    <r>
      <rPr>
        <b val="true"/>
        <sz val="10"/>
        <rFont val="Arial"/>
        <family val="0"/>
        <charset val="1"/>
      </rPr>
      <t xml:space="preserve">11/1 </t>
    </r>
    <r>
      <rPr>
        <b val="true"/>
        <sz val="10"/>
        <rFont val="Noto Sans CJK SC"/>
        <family val="2"/>
      </rPr>
      <t xml:space="preserve">예비판 측정 횟수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</si>
  <si>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수</t>
    </r>
  </si>
  <si>
    <r>
      <rPr>
        <b val="true"/>
        <sz val="10"/>
        <rFont val="Noto Sans CJK SC"/>
        <family val="2"/>
      </rPr>
      <t xml:space="preserve">수능 주간 전국판 측정 횟수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상한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</si>
  <si>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10"/>
        <color rgb="FF4A5361"/>
        <rFont val="Noto Sans CJK SC"/>
        <family val="2"/>
      </rPr>
      <t xml:space="preserve">수능 주간 상한은 모든 시</t>
    </r>
    <r>
      <rPr>
        <i val="true"/>
        <sz val="10"/>
        <color rgb="FF4A5361"/>
        <rFont val="Arial"/>
        <family val="0"/>
        <charset val="1"/>
      </rPr>
      <t xml:space="preserve">·</t>
    </r>
    <r>
      <rPr>
        <i val="true"/>
        <sz val="10"/>
        <color rgb="FF4A5361"/>
        <rFont val="Noto Sans CJK SC"/>
        <family val="2"/>
      </rPr>
      <t xml:space="preserve">도를 최대 언어 수로 잰다고 가정한 값</t>
    </r>
    <r>
      <rPr>
        <i val="true"/>
        <sz val="10"/>
        <color rgb="FF4A5361"/>
        <rFont val="Arial"/>
        <family val="0"/>
        <charset val="1"/>
      </rPr>
      <t xml:space="preserve">. </t>
    </r>
    <r>
      <rPr>
        <i val="true"/>
        <sz val="10"/>
        <color rgb="FF4A5361"/>
        <rFont val="Noto Sans CJK SC"/>
        <family val="2"/>
      </rPr>
      <t xml:space="preserve">실제로는 시</t>
    </r>
    <r>
      <rPr>
        <i val="true"/>
        <sz val="10"/>
        <color rgb="FF4A5361"/>
        <rFont val="Arial"/>
        <family val="0"/>
        <charset val="1"/>
      </rPr>
      <t xml:space="preserve">·</t>
    </r>
    <r>
      <rPr>
        <i val="true"/>
        <sz val="10"/>
        <color rgb="FF4A5361"/>
        <rFont val="Noto Sans CJK SC"/>
        <family val="2"/>
      </rPr>
      <t xml:space="preserve">도별 측정 언어만 잼</t>
    </r>
  </si>
  <si>
    <r>
      <rPr>
        <b val="true"/>
        <sz val="10"/>
        <rFont val="Noto Sans CJK SC"/>
        <family val="2"/>
      </rPr>
      <t xml:space="preserve">유형별 문항 수와 배정된 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도 수</t>
    </r>
  </si>
  <si>
    <t xml:space="preserve">유형</t>
  </si>
  <si>
    <t xml:space="preserve">특화 문항</t>
  </si>
  <si>
    <r>
      <rPr>
        <b val="true"/>
        <sz val="10"/>
        <color rgb="FFFFFFFF"/>
        <rFont val="Noto Sans CJK SC"/>
        <family val="2"/>
      </rPr>
      <t xml:space="preserve">배정된 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Noto Sans CJK SC"/>
        <family val="2"/>
      </rPr>
      <t xml:space="preserve">보조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</si>
  <si>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수도권 대도시 생활</t>
  </si>
  <si>
    <r>
      <rPr>
        <sz val="10"/>
        <rFont val="Noto Sans CJK SC"/>
        <family val="2"/>
      </rPr>
      <t xml:space="preserve">해양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섬</t>
    </r>
  </si>
  <si>
    <r>
      <rPr>
        <sz val="10"/>
        <rFont val="Noto Sans CJK SC"/>
        <family val="2"/>
      </rPr>
      <t xml:space="preserve">산업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항만</t>
    </r>
  </si>
  <si>
    <r>
      <rPr>
        <sz val="10"/>
        <rFont val="Noto Sans CJK SC"/>
        <family val="2"/>
      </rPr>
      <t xml:space="preserve">행정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과학</t>
    </r>
  </si>
  <si>
    <r>
      <rPr>
        <sz val="10"/>
        <rFont val="Noto Sans CJK SC"/>
        <family val="2"/>
      </rPr>
      <t xml:space="preserve">산악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농촌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접경</t>
    </r>
  </si>
  <si>
    <r>
      <rPr>
        <sz val="10"/>
        <rFont val="Noto Sans CJK SC"/>
        <family val="2"/>
      </rPr>
      <t xml:space="preserve">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문화 관광</t>
    </r>
  </si>
  <si>
    <t xml:space="preserve">읽는 법</t>
  </si>
  <si>
    <r>
      <rPr>
        <i val="true"/>
        <sz val="10"/>
        <color rgb="FF4A5361"/>
        <rFont val="Noto Sans CJK SC"/>
        <family val="2"/>
      </rPr>
      <t xml:space="preserve">초록 글씨 </t>
    </r>
    <r>
      <rPr>
        <i val="true"/>
        <sz val="10"/>
        <color rgb="FF4A5361"/>
        <rFont val="Arial"/>
        <family val="0"/>
        <charset val="1"/>
      </rPr>
      <t xml:space="preserve">= </t>
    </r>
    <r>
      <rPr>
        <i val="true"/>
        <sz val="10"/>
        <color rgb="FF4A5361"/>
        <rFont val="Noto Sans CJK SC"/>
        <family val="2"/>
      </rPr>
      <t xml:space="preserve">다른 시트에서 계산된 값 </t>
    </r>
    <r>
      <rPr>
        <i val="true"/>
        <sz val="10"/>
        <color rgb="FF4A5361"/>
        <rFont val="Arial"/>
        <family val="0"/>
        <charset val="1"/>
      </rPr>
      <t xml:space="preserve">· </t>
    </r>
    <r>
      <rPr>
        <i val="true"/>
        <sz val="10"/>
        <color rgb="FF4A5361"/>
        <rFont val="Noto Sans CJK SC"/>
        <family val="2"/>
      </rPr>
      <t xml:space="preserve">파란 글씨 </t>
    </r>
    <r>
      <rPr>
        <i val="true"/>
        <sz val="10"/>
        <color rgb="FF4A5361"/>
        <rFont val="Arial"/>
        <family val="0"/>
        <charset val="1"/>
      </rPr>
      <t xml:space="preserve">= </t>
    </r>
    <r>
      <rPr>
        <i val="true"/>
        <sz val="10"/>
        <color rgb="FF4A5361"/>
        <rFont val="Noto Sans CJK SC"/>
        <family val="2"/>
      </rPr>
      <t xml:space="preserve">바꿀 수 있는 가정 </t>
    </r>
    <r>
      <rPr>
        <i val="true"/>
        <sz val="10"/>
        <color rgb="FF4A5361"/>
        <rFont val="Arial"/>
        <family val="0"/>
        <charset val="1"/>
      </rPr>
      <t xml:space="preserve">· </t>
    </r>
    <r>
      <rPr>
        <i val="true"/>
        <sz val="10"/>
        <color rgb="FF4A5361"/>
        <rFont val="Noto Sans CJK SC"/>
        <family val="2"/>
      </rPr>
      <t xml:space="preserve">노란 칸 </t>
    </r>
    <r>
      <rPr>
        <i val="true"/>
        <sz val="10"/>
        <color rgb="FF4A5361"/>
        <rFont val="Arial"/>
        <family val="0"/>
        <charset val="1"/>
      </rPr>
      <t xml:space="preserve">= </t>
    </r>
    <r>
      <rPr>
        <i val="true"/>
        <sz val="10"/>
        <color rgb="FF4A5361"/>
        <rFont val="Noto Sans CJK SC"/>
        <family val="2"/>
      </rPr>
      <t xml:space="preserve">담당자가 갱신하는 확인 상태 </t>
    </r>
    <r>
      <rPr>
        <i val="true"/>
        <sz val="10"/>
        <color rgb="FF4A5361"/>
        <rFont val="Arial"/>
        <family val="0"/>
        <charset val="1"/>
      </rPr>
      <t xml:space="preserve">(</t>
    </r>
    <r>
      <rPr>
        <i val="true"/>
        <sz val="10"/>
        <color rgb="FF4A5361"/>
        <rFont val="Noto Sans CJK SC"/>
        <family val="2"/>
      </rPr>
      <t xml:space="preserve">공통 </t>
    </r>
    <r>
      <rPr>
        <i val="true"/>
        <sz val="10"/>
        <color rgb="FF4A5361"/>
        <rFont val="Arial"/>
        <family val="0"/>
        <charset val="1"/>
      </rPr>
      <t xml:space="preserve">30 </t>
    </r>
    <r>
      <rPr>
        <i val="true"/>
        <sz val="10"/>
        <color rgb="FF4A5361"/>
        <rFont val="Noto Sans CJK SC"/>
        <family val="2"/>
      </rPr>
      <t xml:space="preserve">시트</t>
    </r>
    <r>
      <rPr>
        <i val="true"/>
        <sz val="10"/>
        <color rgb="FF4A5361"/>
        <rFont val="Arial"/>
        <family val="0"/>
        <charset val="1"/>
      </rPr>
      <t xml:space="preserve">)</t>
    </r>
  </si>
  <si>
    <r>
      <rPr>
        <i val="true"/>
        <sz val="10"/>
        <color rgb="FF4A5361"/>
        <rFont val="Noto Sans CJK SC"/>
        <family val="2"/>
      </rPr>
      <t xml:space="preserve">질문에는 정답을 적지 않았다</t>
    </r>
    <r>
      <rPr>
        <i val="true"/>
        <sz val="10"/>
        <color rgb="FF4A5361"/>
        <rFont val="Arial"/>
        <family val="0"/>
        <charset val="1"/>
      </rPr>
      <t xml:space="preserve">. </t>
    </r>
    <r>
      <rPr>
        <i val="true"/>
        <sz val="10"/>
        <color rgb="FF4A5361"/>
        <rFont val="Noto Sans CJK SC"/>
        <family val="2"/>
      </rPr>
      <t xml:space="preserve">정답은 측정 때 확인 원본과 대조해 확정한다</t>
    </r>
    <r>
      <rPr>
        <i val="true"/>
        <sz val="10"/>
        <color rgb="FF4A5361"/>
        <rFont val="Arial"/>
        <family val="0"/>
        <charset val="1"/>
      </rPr>
      <t xml:space="preserve">. </t>
    </r>
    <r>
      <rPr>
        <i val="true"/>
        <sz val="10"/>
        <color rgb="FF4A5361"/>
        <rFont val="Noto Sans CJK SC"/>
        <family val="2"/>
      </rPr>
      <t xml:space="preserve">변경 이력 후보도 측정 전 공식 원본과 대조가 필요하다</t>
    </r>
    <r>
      <rPr>
        <i val="true"/>
        <sz val="10"/>
        <color rgb="FF4A5361"/>
        <rFont val="Arial"/>
        <family val="0"/>
        <charset val="1"/>
      </rPr>
      <t xml:space="preserve">.</t>
    </r>
  </si>
  <si>
    <r>
      <rPr>
        <b val="true"/>
        <sz val="14"/>
        <color rgb="FF14213D"/>
        <rFont val="Noto Sans CJK SC"/>
        <family val="2"/>
      </rPr>
      <t xml:space="preserve">전국 공통 질문 </t>
    </r>
    <r>
      <rPr>
        <b val="true"/>
        <sz val="14"/>
        <color rgb="FF14213D"/>
        <rFont val="Arial"/>
        <family val="0"/>
        <charset val="1"/>
      </rPr>
      <t xml:space="preserve">30 (</t>
    </r>
    <r>
      <rPr>
        <b val="true"/>
        <sz val="14"/>
        <color rgb="FF14213D"/>
        <rFont val="Noto Sans CJK SC"/>
        <family val="2"/>
      </rPr>
      <t xml:space="preserve">초안</t>
    </r>
    <r>
      <rPr>
        <b val="true"/>
        <sz val="14"/>
        <color rgb="FF14213D"/>
        <rFont val="Arial"/>
        <family val="0"/>
        <charset val="1"/>
      </rPr>
      <t xml:space="preserve">)</t>
    </r>
  </si>
  <si>
    <r>
      <rPr>
        <i val="true"/>
        <sz val="10"/>
        <color rgb="FF4A5361"/>
        <rFont val="Arial"/>
        <family val="0"/>
        <charset val="1"/>
      </rPr>
      <t xml:space="preserve">17</t>
    </r>
    <r>
      <rPr>
        <i val="true"/>
        <sz val="10"/>
        <color rgb="FF4A5361"/>
        <rFont val="Noto Sans CJK SC"/>
        <family val="2"/>
      </rPr>
      <t xml:space="preserve">개 시</t>
    </r>
    <r>
      <rPr>
        <i val="true"/>
        <sz val="10"/>
        <color rgb="FF4A5361"/>
        <rFont val="Arial"/>
        <family val="0"/>
        <charset val="1"/>
      </rPr>
      <t xml:space="preserve">·</t>
    </r>
    <r>
      <rPr>
        <i val="true"/>
        <sz val="10"/>
        <color rgb="FF4A5361"/>
        <rFont val="Noto Sans CJK SC"/>
        <family val="2"/>
      </rPr>
      <t xml:space="preserve">도 모두에 같은 틀로 묻는 질문</t>
    </r>
    <r>
      <rPr>
        <i val="true"/>
        <sz val="10"/>
        <color rgb="FF4A5361"/>
        <rFont val="Arial"/>
        <family val="0"/>
        <charset val="1"/>
      </rPr>
      <t xml:space="preserve">. </t>
    </r>
    <r>
      <rPr>
        <i val="true"/>
        <sz val="10"/>
        <color rgb="FF4A5361"/>
        <rFont val="Noto Sans CJK SC"/>
        <family val="2"/>
      </rPr>
      <t xml:space="preserve">정답은 적지 않고 확인 원본만 적음</t>
    </r>
    <r>
      <rPr>
        <i val="true"/>
        <sz val="10"/>
        <color rgb="FF4A5361"/>
        <rFont val="Arial"/>
        <family val="0"/>
        <charset val="1"/>
      </rPr>
      <t xml:space="preserve">. </t>
    </r>
    <r>
      <rPr>
        <i val="true"/>
        <sz val="10"/>
        <color rgb="FF4A5361"/>
        <rFont val="Noto Sans CJK SC"/>
        <family val="2"/>
      </rPr>
      <t xml:space="preserve">노란 칸</t>
    </r>
    <r>
      <rPr>
        <i val="true"/>
        <sz val="10"/>
        <color rgb="FF4A5361"/>
        <rFont val="Arial"/>
        <family val="0"/>
        <charset val="1"/>
      </rPr>
      <t xml:space="preserve">(</t>
    </r>
    <r>
      <rPr>
        <i val="true"/>
        <sz val="10"/>
        <color rgb="FF4A5361"/>
        <rFont val="Noto Sans CJK SC"/>
        <family val="2"/>
      </rPr>
      <t xml:space="preserve">확인 상태</t>
    </r>
    <r>
      <rPr>
        <i val="true"/>
        <sz val="10"/>
        <color rgb="FF4A5361"/>
        <rFont val="Arial"/>
        <family val="0"/>
        <charset val="1"/>
      </rPr>
      <t xml:space="preserve">)</t>
    </r>
    <r>
      <rPr>
        <i val="true"/>
        <sz val="10"/>
        <color rgb="FF4A5361"/>
        <rFont val="Noto Sans CJK SC"/>
        <family val="2"/>
      </rPr>
      <t xml:space="preserve">은 담당자가 갱신</t>
    </r>
  </si>
  <si>
    <t xml:space="preserve">ID</t>
  </si>
  <si>
    <t xml:space="preserve">묶음</t>
  </si>
  <si>
    <t xml:space="preserve">질문 템플릿</t>
  </si>
  <si>
    <t xml:space="preserve">확인 원본</t>
  </si>
  <si>
    <t xml:space="preserve">자동 확인</t>
  </si>
  <si>
    <t xml:space="preserve">유효 구간 민감도</t>
  </si>
  <si>
    <t xml:space="preserve">위험</t>
  </si>
  <si>
    <r>
      <rPr>
        <b val="true"/>
        <sz val="10"/>
        <color rgb="FFFFFFFF"/>
        <rFont val="Arial"/>
        <family val="0"/>
        <charset val="1"/>
      </rPr>
      <t xml:space="preserve">11/1 </t>
    </r>
    <r>
      <rPr>
        <b val="true"/>
        <sz val="10"/>
        <color rgb="FFFFFFFF"/>
        <rFont val="Noto Sans CJK SC"/>
        <family val="2"/>
      </rPr>
      <t xml:space="preserve">예비판</t>
    </r>
  </si>
  <si>
    <t xml:space="preserve">확인 상태</t>
  </si>
  <si>
    <t xml:space="preserve">C01</t>
  </si>
  <si>
    <r>
      <rPr>
        <sz val="10"/>
        <rFont val="Noto Sans CJK SC"/>
        <family val="2"/>
      </rPr>
      <t xml:space="preserve">명칭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</si>
  <si>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공식 명칭은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</si>
  <si>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공식 누리집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법령</t>
    </r>
  </si>
  <si>
    <t xml:space="preserve">예</t>
  </si>
  <si>
    <t xml:space="preserve">상</t>
  </si>
  <si>
    <t xml:space="preserve">낮음</t>
  </si>
  <si>
    <t xml:space="preserve">포함</t>
  </si>
  <si>
    <t xml:space="preserve">미확인</t>
  </si>
  <si>
    <t xml:space="preserve">C02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</si>
  <si>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공식 영문 표기는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</si>
  <si>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공식 누리집</t>
    </r>
  </si>
  <si>
    <t xml:space="preserve">C03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</si>
  <si>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시청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도청은 어디에 있나요</t>
    </r>
    <r>
      <rPr>
        <sz val="10"/>
        <rFont val="Arial"/>
        <family val="0"/>
        <charset val="1"/>
      </rPr>
      <t xml:space="preserve">?</t>
    </r>
  </si>
  <si>
    <t xml:space="preserve">C04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</si>
  <si>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에는 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구가 몇 개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</si>
  <si>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행정구역 현황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행정안전부</t>
    </r>
    <r>
      <rPr>
        <sz val="10"/>
        <rFont val="Arial"/>
        <family val="0"/>
        <charset val="1"/>
      </rPr>
      <t xml:space="preserve">)</t>
    </r>
  </si>
  <si>
    <t xml:space="preserve">C05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</si>
  <si>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에 속한 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구를 모두 알려 주세요</t>
    </r>
  </si>
  <si>
    <t xml:space="preserve">C06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</si>
  <si>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공식 도시 브랜드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슬로건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?</t>
    </r>
  </si>
  <si>
    <t xml:space="preserve">부분</t>
  </si>
  <si>
    <t xml:space="preserve">중</t>
  </si>
  <si>
    <t xml:space="preserve">-</t>
  </si>
  <si>
    <t xml:space="preserve">C07</t>
  </si>
  <si>
    <r>
      <rPr>
        <sz val="10"/>
        <rFont val="Noto Sans CJK SC"/>
        <family val="2"/>
      </rPr>
      <t xml:space="preserve">교통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접근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</si>
  <si>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에서 가장 가까운 국제공항은</t>
    </r>
    <r>
      <rPr>
        <sz val="10"/>
        <rFont val="Arial"/>
        <family val="0"/>
        <charset val="1"/>
      </rPr>
      <t xml:space="preserve">?</t>
    </r>
  </si>
  <si>
    <t xml:space="preserve">공항 운영 기관</t>
  </si>
  <si>
    <t xml:space="preserve">하</t>
  </si>
  <si>
    <t xml:space="preserve">C08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</si>
  <si>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KTX·SRT </t>
    </r>
    <r>
      <rPr>
        <sz val="10"/>
        <rFont val="Noto Sans CJK SC"/>
        <family val="2"/>
      </rPr>
      <t xml:space="preserve">정차역은</t>
    </r>
    <r>
      <rPr>
        <sz val="10"/>
        <rFont val="Arial"/>
        <family val="0"/>
        <charset val="1"/>
      </rPr>
      <t xml:space="preserve">?</t>
    </r>
  </si>
  <si>
    <t xml:space="preserve">철도 운영사</t>
  </si>
  <si>
    <t xml:space="preserve">C09</t>
  </si>
  <si>
    <r>
      <rPr>
        <sz val="10"/>
        <rFont val="Noto Sans CJK SC"/>
        <family val="2"/>
      </rPr>
      <t xml:space="preserve">서울에서 </t>
    </r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청 소재지까지 대중교통으로 가는 대표 방법은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</si>
  <si>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철도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고속버스 운영사</t>
    </r>
  </si>
  <si>
    <t xml:space="preserve">C10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</si>
  <si>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관광 안내 전화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외국어 포함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</si>
  <si>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한국관광공사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관광 누리집</t>
    </r>
  </si>
  <si>
    <t xml:space="preserve">C11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</si>
  <si>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외국인 관광 안내센터는 어디에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</si>
  <si>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관광 누리집</t>
    </r>
  </si>
  <si>
    <t xml:space="preserve">C12</t>
  </si>
  <si>
    <r>
      <rPr>
        <sz val="10"/>
        <rFont val="Noto Sans CJK SC"/>
        <family val="2"/>
      </rPr>
      <t xml:space="preserve">축제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행사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</si>
  <si>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대표 축제는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</si>
  <si>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주최 측</t>
    </r>
  </si>
  <si>
    <t xml:space="preserve">C13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</si>
  <si>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축제의 올해 일정은</t>
    </r>
    <r>
      <rPr>
        <sz val="10"/>
        <rFont val="Arial"/>
        <family val="0"/>
        <charset val="1"/>
      </rPr>
      <t xml:space="preserve">?</t>
    </r>
  </si>
  <si>
    <t xml:space="preserve">주최 측 공식 발표</t>
  </si>
  <si>
    <t xml:space="preserve">C14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</si>
  <si>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축제는 어디서 열리나요</t>
    </r>
    <r>
      <rPr>
        <sz val="10"/>
        <rFont val="Arial"/>
        <family val="0"/>
        <charset val="1"/>
      </rPr>
      <t xml:space="preserve">?</t>
    </r>
  </si>
  <si>
    <t xml:space="preserve">C15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</si>
  <si>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올해 해돋이 행사 일정과 장소는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</si>
  <si>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 공식 발표</t>
    </r>
  </si>
  <si>
    <r>
      <rPr>
        <sz val="10"/>
        <rFont val="Arial"/>
        <family val="0"/>
        <charset val="1"/>
      </rPr>
      <t xml:space="preserve">- (12</t>
    </r>
    <r>
      <rPr>
        <sz val="10"/>
        <rFont val="Noto Sans CJK SC"/>
        <family val="2"/>
      </rPr>
      <t xml:space="preserve">월 측정</t>
    </r>
    <r>
      <rPr>
        <sz val="10"/>
        <rFont val="Arial"/>
        <family val="0"/>
        <charset val="1"/>
      </rPr>
      <t xml:space="preserve">)</t>
    </r>
  </si>
  <si>
    <t xml:space="preserve">C16</t>
  </si>
  <si>
    <r>
      <rPr>
        <sz val="10"/>
        <rFont val="Noto Sans CJK SC"/>
        <family val="2"/>
      </rPr>
      <t xml:space="preserve">관광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문화</t>
    </r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</si>
  <si>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관광지 세 곳의 운영 시간과 휴무일은</t>
    </r>
    <r>
      <rPr>
        <sz val="10"/>
        <rFont val="Arial"/>
        <family val="0"/>
        <charset val="1"/>
      </rPr>
      <t xml:space="preserve">?</t>
    </r>
  </si>
  <si>
    <t xml:space="preserve">관리 기관 공식 누리집</t>
  </si>
  <si>
    <t xml:space="preserve">C17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</si>
  <si>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에 있는 세계유산은</t>
    </r>
    <r>
      <rPr>
        <sz val="10"/>
        <rFont val="Arial"/>
        <family val="0"/>
        <charset val="1"/>
      </rPr>
      <t xml:space="preserve">?</t>
    </r>
  </si>
  <si>
    <t xml:space="preserve">국가유산청</t>
  </si>
  <si>
    <t xml:space="preserve">C18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</si>
  <si>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공립 박물관의 휴관일은</t>
    </r>
    <r>
      <rPr>
        <sz val="10"/>
        <rFont val="Arial"/>
        <family val="0"/>
        <charset val="1"/>
      </rPr>
      <t xml:space="preserve">?</t>
    </r>
  </si>
  <si>
    <t xml:space="preserve">박물관 공식 누리집</t>
  </si>
  <si>
    <t xml:space="preserve">C19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</si>
  <si>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지리적 표시 등록 특산물은</t>
    </r>
    <r>
      <rPr>
        <sz val="10"/>
        <rFont val="Arial"/>
        <family val="0"/>
        <charset val="1"/>
      </rPr>
      <t xml:space="preserve">?</t>
    </r>
  </si>
  <si>
    <t xml:space="preserve">지리적 표시 등록 원부</t>
  </si>
  <si>
    <t xml:space="preserve">C20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</si>
  <si>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공식 관광 누리집 주소는</t>
    </r>
    <r>
      <rPr>
        <sz val="10"/>
        <rFont val="Arial"/>
        <family val="0"/>
        <charset val="1"/>
      </rPr>
      <t xml:space="preserve">?</t>
    </r>
  </si>
  <si>
    <t xml:space="preserve">C21</t>
  </si>
  <si>
    <t xml:space="preserve">생활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</si>
  <si>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지역사랑상품권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지역 화폐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이름은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</si>
  <si>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공식 발표</t>
    </r>
  </si>
  <si>
    <t xml:space="preserve">C22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</si>
  <si>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지역사랑상품권의 올해 할인율은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</si>
  <si>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중간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연결만</t>
    </r>
    <r>
      <rPr>
        <sz val="10"/>
        <rFont val="Arial"/>
        <family val="0"/>
        <charset val="1"/>
      </rPr>
      <t xml:space="preserve">)</t>
    </r>
  </si>
  <si>
    <t xml:space="preserve">C23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</si>
  <si>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대표 민원 콜센터 번호는</t>
    </r>
    <r>
      <rPr>
        <sz val="10"/>
        <rFont val="Arial"/>
        <family val="0"/>
        <charset val="1"/>
      </rPr>
      <t xml:space="preserve">?</t>
    </r>
  </si>
  <si>
    <t xml:space="preserve">C24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</si>
  <si>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공공자전거의 이름은</t>
    </r>
    <r>
      <rPr>
        <sz val="10"/>
        <rFont val="Arial"/>
        <family val="0"/>
        <charset val="1"/>
      </rPr>
      <t xml:space="preserve">?</t>
    </r>
  </si>
  <si>
    <t xml:space="preserve">C25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</si>
  <si>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생활 쓰레기 배출 안내는 어디서 보나요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</si>
  <si>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 공식 누리집</t>
    </r>
  </si>
  <si>
    <r>
      <rPr>
        <sz val="10"/>
        <rFont val="Noto Sans CJK SC"/>
        <family val="2"/>
      </rPr>
      <t xml:space="preserve">낮음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연결만</t>
    </r>
    <r>
      <rPr>
        <sz val="10"/>
        <rFont val="Arial"/>
        <family val="0"/>
        <charset val="1"/>
      </rPr>
      <t xml:space="preserve">)</t>
    </r>
  </si>
  <si>
    <t xml:space="preserve">C26</t>
  </si>
  <si>
    <t xml:space="preserve">외국인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</si>
  <si>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공식 명칭은 중국어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일본어로 어떻게 표기하나요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</si>
  <si>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공식 누리집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국립국어원 표기</t>
    </r>
  </si>
  <si>
    <t xml:space="preserve">C27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</si>
  <si>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공식 관광 정보를 영어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일본어로 볼 수 있는 곳은</t>
    </r>
    <r>
      <rPr>
        <sz val="10"/>
        <rFont val="Arial"/>
        <family val="0"/>
        <charset val="1"/>
      </rPr>
      <t xml:space="preserve">?</t>
    </r>
  </si>
  <si>
    <t xml:space="preserve">C28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</si>
  <si>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관광지에서 외국어 해설을 제공하나요</t>
    </r>
    <r>
      <rPr>
        <sz val="10"/>
        <rFont val="Arial"/>
        <family val="0"/>
        <charset val="1"/>
      </rPr>
      <t xml:space="preserve">?</t>
    </r>
  </si>
  <si>
    <t xml:space="preserve">관리 기관</t>
  </si>
  <si>
    <t xml:space="preserve">C29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</si>
  <si>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관광지의 휠체어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유모차 접근 정보는 어디서 보나요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</si>
  <si>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관리 기관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무장애 관광 정보</t>
    </r>
  </si>
  <si>
    <t xml:space="preserve">C30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</si>
  <si>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</t>
    </r>
    <r>
      <rPr>
        <sz val="10"/>
        <rFont val="Noto Sans CJK SC"/>
        <family val="2"/>
      </rPr>
      <t xml:space="preserve">의 공식 관광 </t>
    </r>
    <r>
      <rPr>
        <sz val="10"/>
        <rFont val="Arial"/>
        <family val="0"/>
        <charset val="1"/>
      </rPr>
      <t xml:space="preserve">SNS·</t>
    </r>
    <r>
      <rPr>
        <sz val="10"/>
        <rFont val="Noto Sans CJK SC"/>
        <family val="2"/>
      </rPr>
      <t xml:space="preserve">앱은</t>
    </r>
    <r>
      <rPr>
        <sz val="10"/>
        <rFont val="Arial"/>
        <family val="0"/>
        <charset val="1"/>
      </rPr>
      <t xml:space="preserve">?</t>
    </r>
  </si>
  <si>
    <r>
      <rPr>
        <b val="true"/>
        <sz val="14"/>
        <color rgb="FF14213D"/>
        <rFont val="Noto Sans CJK SC"/>
        <family val="2"/>
      </rPr>
      <t xml:space="preserve">유형별 특화 질문 </t>
    </r>
    <r>
      <rPr>
        <b val="true"/>
        <sz val="14"/>
        <color rgb="FF14213D"/>
        <rFont val="Arial"/>
        <family val="0"/>
        <charset val="1"/>
      </rPr>
      <t xml:space="preserve">20 × 6 (</t>
    </r>
    <r>
      <rPr>
        <b val="true"/>
        <sz val="14"/>
        <color rgb="FF14213D"/>
        <rFont val="Noto Sans CJK SC"/>
        <family val="2"/>
      </rPr>
      <t xml:space="preserve">초안</t>
    </r>
    <r>
      <rPr>
        <b val="true"/>
        <sz val="14"/>
        <color rgb="FF14213D"/>
        <rFont val="Arial"/>
        <family val="0"/>
        <charset val="1"/>
      </rPr>
      <t xml:space="preserve">)</t>
    </r>
  </si>
  <si>
    <r>
      <rPr>
        <i val="true"/>
        <sz val="10"/>
        <color rgb="FF4A5361"/>
        <rFont val="Noto Sans CJK SC"/>
        <family val="2"/>
      </rPr>
      <t xml:space="preserve">시</t>
    </r>
    <r>
      <rPr>
        <i val="true"/>
        <sz val="10"/>
        <color rgb="FF4A5361"/>
        <rFont val="Arial"/>
        <family val="0"/>
        <charset val="1"/>
      </rPr>
      <t xml:space="preserve">·</t>
    </r>
    <r>
      <rPr>
        <i val="true"/>
        <sz val="10"/>
        <color rgb="FF4A5361"/>
        <rFont val="Noto Sans CJK SC"/>
        <family val="2"/>
      </rPr>
      <t xml:space="preserve">도마다 주 유형 </t>
    </r>
    <r>
      <rPr>
        <i val="true"/>
        <sz val="10"/>
        <color rgb="FF4A5361"/>
        <rFont val="Arial"/>
        <family val="0"/>
        <charset val="1"/>
      </rPr>
      <t xml:space="preserve">1</t>
    </r>
    <r>
      <rPr>
        <i val="true"/>
        <sz val="10"/>
        <color rgb="FF4A5361"/>
        <rFont val="Noto Sans CJK SC"/>
        <family val="2"/>
      </rPr>
      <t xml:space="preserve">개와 보조 유형 </t>
    </r>
    <r>
      <rPr>
        <i val="true"/>
        <sz val="10"/>
        <color rgb="FF4A5361"/>
        <rFont val="Arial"/>
        <family val="0"/>
        <charset val="1"/>
      </rPr>
      <t xml:space="preserve">1</t>
    </r>
    <r>
      <rPr>
        <i val="true"/>
        <sz val="10"/>
        <color rgb="FF4A5361"/>
        <rFont val="Noto Sans CJK SC"/>
        <family val="2"/>
      </rPr>
      <t xml:space="preserve">개를 배정해 공통 </t>
    </r>
    <r>
      <rPr>
        <i val="true"/>
        <sz val="10"/>
        <color rgb="FF4A5361"/>
        <rFont val="Arial"/>
        <family val="0"/>
        <charset val="1"/>
      </rPr>
      <t xml:space="preserve">30</t>
    </r>
    <r>
      <rPr>
        <i val="true"/>
        <sz val="10"/>
        <color rgb="FF4A5361"/>
        <rFont val="Noto Sans CJK SC"/>
        <family val="2"/>
      </rPr>
      <t xml:space="preserve">에 더함</t>
    </r>
    <r>
      <rPr>
        <i val="true"/>
        <sz val="10"/>
        <color rgb="FF4A5361"/>
        <rFont val="Arial"/>
        <family val="0"/>
        <charset val="1"/>
      </rPr>
      <t xml:space="preserve">. </t>
    </r>
    <r>
      <rPr>
        <i val="true"/>
        <sz val="10"/>
        <color rgb="FF4A5361"/>
        <rFont val="Noto Sans CJK SC"/>
        <family val="2"/>
      </rPr>
      <t xml:space="preserve">같은 유형끼리 비교</t>
    </r>
  </si>
  <si>
    <t xml:space="preserve">A1-01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</si>
  <si>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지하철 첫차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막차 시간은</t>
    </r>
    <r>
      <rPr>
        <sz val="10"/>
        <rFont val="Arial"/>
        <family val="0"/>
        <charset val="1"/>
      </rPr>
      <t xml:space="preserve">?</t>
    </r>
  </si>
  <si>
    <t xml:space="preserve">A1-02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</si>
  <si>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심야버스 노선 안내는 어디서 보나요</t>
    </r>
    <r>
      <rPr>
        <sz val="10"/>
        <rFont val="Arial"/>
        <family val="0"/>
        <charset val="1"/>
      </rPr>
      <t xml:space="preserve">?</t>
    </r>
  </si>
  <si>
    <t xml:space="preserve">A1-03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</si>
  <si>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공공자전거 이용 요금은</t>
    </r>
    <r>
      <rPr>
        <sz val="10"/>
        <rFont val="Arial"/>
        <family val="0"/>
        <charset val="1"/>
      </rPr>
      <t xml:space="preserve">?</t>
    </r>
  </si>
  <si>
    <t xml:space="preserve">A1-04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</si>
  <si>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공영주차장 요금 기준 원본은</t>
    </r>
    <r>
      <rPr>
        <sz val="10"/>
        <rFont val="Arial"/>
        <family val="0"/>
        <charset val="1"/>
      </rPr>
      <t xml:space="preserve">?</t>
    </r>
  </si>
  <si>
    <t xml:space="preserve">A1-05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</si>
  <si>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공공 도서관 운영 시간은</t>
    </r>
    <r>
      <rPr>
        <sz val="10"/>
        <rFont val="Arial"/>
        <family val="0"/>
        <charset val="1"/>
      </rPr>
      <t xml:space="preserve">?</t>
    </r>
  </si>
  <si>
    <t xml:space="preserve">A1-06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</si>
  <si>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외국인 주민 지원센터는 어디에 있나요</t>
    </r>
    <r>
      <rPr>
        <sz val="10"/>
        <rFont val="Arial"/>
        <family val="0"/>
        <charset val="1"/>
      </rPr>
      <t xml:space="preserve">?</t>
    </r>
  </si>
  <si>
    <t xml:space="preserve">A1-07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</si>
  <si>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공항철도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공항버스 운행 시간은</t>
    </r>
    <r>
      <rPr>
        <sz val="10"/>
        <rFont val="Arial"/>
        <family val="0"/>
        <charset val="1"/>
      </rPr>
      <t xml:space="preserve">?</t>
    </r>
  </si>
  <si>
    <t xml:space="preserve">A1-08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</si>
  <si>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수변 공원의 시즌 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수영장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캠핑장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운영 기간은</t>
    </r>
    <r>
      <rPr>
        <sz val="10"/>
        <rFont val="Arial"/>
        <family val="0"/>
        <charset val="1"/>
      </rPr>
      <t xml:space="preserve">?</t>
    </r>
  </si>
  <si>
    <t xml:space="preserve">A1-09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</si>
  <si>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야경 명소의 조명 운영 시간은</t>
    </r>
    <r>
      <rPr>
        <sz val="10"/>
        <rFont val="Arial"/>
        <family val="0"/>
        <charset val="1"/>
      </rPr>
      <t xml:space="preserve">?</t>
    </r>
  </si>
  <si>
    <t xml:space="preserve">A1-10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</si>
  <si>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전통시장의 휴무일은</t>
    </r>
    <r>
      <rPr>
        <sz val="10"/>
        <rFont val="Arial"/>
        <family val="0"/>
        <charset val="1"/>
      </rPr>
      <t xml:space="preserve">?</t>
    </r>
  </si>
  <si>
    <t xml:space="preserve">A1-11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</si>
  <si>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공공 와이파이 이름은</t>
    </r>
    <r>
      <rPr>
        <sz val="10"/>
        <rFont val="Arial"/>
        <family val="0"/>
        <charset val="1"/>
      </rPr>
      <t xml:space="preserve">?</t>
    </r>
  </si>
  <si>
    <t xml:space="preserve">A1-12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</si>
  <si>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박물관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미술관 무료 관람일은</t>
    </r>
    <r>
      <rPr>
        <sz val="10"/>
        <rFont val="Arial"/>
        <family val="0"/>
        <charset val="1"/>
      </rPr>
      <t xml:space="preserve">?</t>
    </r>
  </si>
  <si>
    <t xml:space="preserve">A1-13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</si>
  <si>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광역버스 노선 안내 원본은</t>
    </r>
    <r>
      <rPr>
        <sz val="10"/>
        <rFont val="Arial"/>
        <family val="0"/>
        <charset val="1"/>
      </rPr>
      <t xml:space="preserve">?</t>
    </r>
  </si>
  <si>
    <t xml:space="preserve">A1-14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</si>
  <si>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대중교통 환승 할인 안내 원본은</t>
    </r>
    <r>
      <rPr>
        <sz val="10"/>
        <rFont val="Arial"/>
        <family val="0"/>
        <charset val="1"/>
      </rPr>
      <t xml:space="preserve">?</t>
    </r>
  </si>
  <si>
    <t xml:space="preserve">A1-15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</si>
  <si>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축제 기간 교통 통제 안내는</t>
    </r>
    <r>
      <rPr>
        <sz val="10"/>
        <rFont val="Arial"/>
        <family val="0"/>
        <charset val="1"/>
      </rPr>
      <t xml:space="preserve">?</t>
    </r>
  </si>
  <si>
    <t xml:space="preserve">A1-16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</si>
  <si>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공공 체육시설 예약 사이트는</t>
    </r>
    <r>
      <rPr>
        <sz val="10"/>
        <rFont val="Arial"/>
        <family val="0"/>
        <charset val="1"/>
      </rPr>
      <t xml:space="preserve">?</t>
    </r>
  </si>
  <si>
    <t xml:space="preserve">A1-17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</si>
  <si>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관광지의 외국어 해설 시간은</t>
    </r>
    <r>
      <rPr>
        <sz val="10"/>
        <rFont val="Arial"/>
        <family val="0"/>
        <charset val="1"/>
      </rPr>
      <t xml:space="preserve">?</t>
    </r>
  </si>
  <si>
    <t xml:space="preserve">A1-18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</si>
  <si>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새로 개통한 지하철역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노선의 개통 시기는</t>
    </r>
    <r>
      <rPr>
        <sz val="10"/>
        <rFont val="Arial"/>
        <family val="0"/>
        <charset val="1"/>
      </rPr>
      <t xml:space="preserve">?</t>
    </r>
  </si>
  <si>
    <t xml:space="preserve">A1-19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</si>
  <si>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둘레길 이름과 구간은</t>
    </r>
    <r>
      <rPr>
        <sz val="10"/>
        <rFont val="Arial"/>
        <family val="0"/>
        <charset val="1"/>
      </rPr>
      <t xml:space="preserve">?</t>
    </r>
  </si>
  <si>
    <t xml:space="preserve">A1-20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</si>
  <si>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관광지의 외국어 안내 여부는</t>
    </r>
    <r>
      <rPr>
        <sz val="10"/>
        <rFont val="Arial"/>
        <family val="0"/>
        <charset val="1"/>
      </rPr>
      <t xml:space="preserve">?</t>
    </r>
  </si>
  <si>
    <t xml:space="preserve">A2-01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</si>
  <si>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주요 여객선 터미널은 어디에 있나요</t>
    </r>
    <r>
      <rPr>
        <sz val="10"/>
        <rFont val="Arial"/>
        <family val="0"/>
        <charset val="1"/>
      </rPr>
      <t xml:space="preserve">?</t>
    </r>
  </si>
  <si>
    <t xml:space="preserve">A2-02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</si>
  <si>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섬으로 가는 여객선 운항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요금 원본은</t>
    </r>
    <r>
      <rPr>
        <sz val="10"/>
        <rFont val="Arial"/>
        <family val="0"/>
        <charset val="1"/>
      </rPr>
      <t xml:space="preserve">?</t>
    </r>
  </si>
  <si>
    <t xml:space="preserve">A2-03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</si>
  <si>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기상 악화 시 여객선 통제는 어디서 확인하나요</t>
    </r>
    <r>
      <rPr>
        <sz val="10"/>
        <rFont val="Arial"/>
        <family val="0"/>
        <charset val="1"/>
      </rPr>
      <t xml:space="preserve">?</t>
    </r>
  </si>
  <si>
    <t xml:space="preserve">A2-04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</si>
  <si>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해수욕장 개장 기간은</t>
    </r>
    <r>
      <rPr>
        <sz val="10"/>
        <rFont val="Arial"/>
        <family val="0"/>
        <charset val="1"/>
      </rPr>
      <t xml:space="preserve">?</t>
    </r>
  </si>
  <si>
    <t xml:space="preserve">A2-05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</si>
  <si>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해수욕장 야간 개장 여부는</t>
    </r>
    <r>
      <rPr>
        <sz val="10"/>
        <rFont val="Arial"/>
        <family val="0"/>
        <charset val="1"/>
      </rPr>
      <t xml:space="preserve">?</t>
    </r>
  </si>
  <si>
    <t xml:space="preserve">A2-06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</si>
  <si>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수산시장 운영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휴무일은</t>
    </r>
    <r>
      <rPr>
        <sz val="10"/>
        <rFont val="Arial"/>
        <family val="0"/>
        <charset val="1"/>
      </rPr>
      <t xml:space="preserve">?</t>
    </r>
  </si>
  <si>
    <t xml:space="preserve">A2-07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</si>
  <si>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해녀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어촌 체험 프로그램 운영 기간은</t>
    </r>
    <r>
      <rPr>
        <sz val="10"/>
        <rFont val="Arial"/>
        <family val="0"/>
        <charset val="1"/>
      </rPr>
      <t xml:space="preserve">?</t>
    </r>
  </si>
  <si>
    <t xml:space="preserve">A2-08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</si>
  <si>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해안 산책로 이름과 구간은</t>
    </r>
    <r>
      <rPr>
        <sz val="10"/>
        <rFont val="Arial"/>
        <family val="0"/>
        <charset val="1"/>
      </rPr>
      <t xml:space="preserve">?</t>
    </r>
  </si>
  <si>
    <t xml:space="preserve">A2-09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</si>
  <si>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해상 케이블카 운영 시간은</t>
    </r>
    <r>
      <rPr>
        <sz val="10"/>
        <rFont val="Arial"/>
        <family val="0"/>
        <charset val="1"/>
      </rPr>
      <t xml:space="preserve">?</t>
    </r>
  </si>
  <si>
    <t xml:space="preserve">A2-10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</si>
  <si>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크루즈 터미널은 어디에 있나요</t>
    </r>
    <r>
      <rPr>
        <sz val="10"/>
        <rFont val="Arial"/>
        <family val="0"/>
        <charset val="1"/>
      </rPr>
      <t xml:space="preserve">?</t>
    </r>
  </si>
  <si>
    <t xml:space="preserve">A2-11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</si>
  <si>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등대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전망대 개방 시간은</t>
    </r>
    <r>
      <rPr>
        <sz val="10"/>
        <rFont val="Arial"/>
        <family val="0"/>
        <charset val="1"/>
      </rPr>
      <t xml:space="preserve">?</t>
    </r>
  </si>
  <si>
    <t xml:space="preserve">A2-12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</si>
  <si>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섬 지역 순환버스 안내는</t>
    </r>
    <r>
      <rPr>
        <sz val="10"/>
        <rFont val="Arial"/>
        <family val="0"/>
        <charset val="1"/>
      </rPr>
      <t xml:space="preserve">?</t>
    </r>
  </si>
  <si>
    <t xml:space="preserve">A2-13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</si>
  <si>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갯벌 체험 가능 기간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물때 안내 원본은</t>
    </r>
    <r>
      <rPr>
        <sz val="10"/>
        <rFont val="Arial"/>
        <family val="0"/>
        <charset val="1"/>
      </rPr>
      <t xml:space="preserve">?</t>
    </r>
  </si>
  <si>
    <t xml:space="preserve">A2-14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</si>
  <si>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수산 특산물의 지리적 표시 등록 여부는</t>
    </r>
    <r>
      <rPr>
        <sz val="10"/>
        <rFont val="Arial"/>
        <family val="0"/>
        <charset val="1"/>
      </rPr>
      <t xml:space="preserve">?</t>
    </r>
  </si>
  <si>
    <t xml:space="preserve">A2-15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</si>
  <si>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서핑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요트 등 해양 레저가 가능한 해변은</t>
    </r>
    <r>
      <rPr>
        <sz val="10"/>
        <rFont val="Arial"/>
        <family val="0"/>
        <charset val="1"/>
      </rPr>
      <t xml:space="preserve">?</t>
    </r>
  </si>
  <si>
    <t xml:space="preserve">A2-16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</si>
  <si>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해변 반려동물 출입 규정 원본은</t>
    </r>
    <r>
      <rPr>
        <sz val="10"/>
        <rFont val="Arial"/>
        <family val="0"/>
        <charset val="1"/>
      </rPr>
      <t xml:space="preserve">?</t>
    </r>
  </si>
  <si>
    <t xml:space="preserve">A2-17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</si>
  <si>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섬 차량 반입 규정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있는 경우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</t>
    </r>
    <r>
      <rPr>
        <sz val="10"/>
        <rFont val="Arial"/>
        <family val="0"/>
        <charset val="1"/>
      </rPr>
      <t xml:space="preserve">?</t>
    </r>
  </si>
  <si>
    <t xml:space="preserve">A2-18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</si>
  <si>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해상 국립공원 탐방 예약 여부는</t>
    </r>
    <r>
      <rPr>
        <sz val="10"/>
        <rFont val="Arial"/>
        <family val="0"/>
        <charset val="1"/>
      </rPr>
      <t xml:space="preserve">?</t>
    </r>
  </si>
  <si>
    <t xml:space="preserve">A2-19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</si>
  <si>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해양 축제의 올해 일정은</t>
    </r>
    <r>
      <rPr>
        <sz val="10"/>
        <rFont val="Arial"/>
        <family val="0"/>
        <charset val="1"/>
      </rPr>
      <t xml:space="preserve">?</t>
    </r>
  </si>
  <si>
    <t xml:space="preserve">A2-20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</si>
  <si>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해안 관광지의 외국어 안내 여부는</t>
    </r>
    <r>
      <rPr>
        <sz val="10"/>
        <rFont val="Arial"/>
        <family val="0"/>
        <charset val="1"/>
      </rPr>
      <t xml:space="preserve">?</t>
    </r>
  </si>
  <si>
    <t xml:space="preserve">A3-01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</si>
  <si>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산업 관광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공장 견학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프로그램 운영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예약은</t>
    </r>
    <r>
      <rPr>
        <sz val="10"/>
        <rFont val="Arial"/>
        <family val="0"/>
        <charset val="1"/>
      </rPr>
      <t xml:space="preserve">?</t>
    </r>
  </si>
  <si>
    <t xml:space="preserve">A3-02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</si>
  <si>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산업 박물관 운영 시간은</t>
    </r>
    <r>
      <rPr>
        <sz val="10"/>
        <rFont val="Arial"/>
        <family val="0"/>
        <charset val="1"/>
      </rPr>
      <t xml:space="preserve">?</t>
    </r>
  </si>
  <si>
    <t xml:space="preserve">A3-03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</si>
  <si>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기업 홍보관 개방 여부는</t>
    </r>
    <r>
      <rPr>
        <sz val="10"/>
        <rFont val="Arial"/>
        <family val="0"/>
        <charset val="1"/>
      </rPr>
      <t xml:space="preserve">?</t>
    </r>
  </si>
  <si>
    <t xml:space="preserve">A3-04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</si>
  <si>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산업단지 순환버스 안내는</t>
    </r>
    <r>
      <rPr>
        <sz val="10"/>
        <rFont val="Arial"/>
        <family val="0"/>
        <charset val="1"/>
      </rPr>
      <t xml:space="preserve">?</t>
    </r>
  </si>
  <si>
    <t xml:space="preserve">A3-05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</si>
  <si>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항만 견학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투어 운영은</t>
    </r>
    <r>
      <rPr>
        <sz val="10"/>
        <rFont val="Arial"/>
        <family val="0"/>
        <charset val="1"/>
      </rPr>
      <t xml:space="preserve">?</t>
    </r>
  </si>
  <si>
    <t xml:space="preserve">A3-06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</si>
  <si>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산업 축제 일정은</t>
    </r>
    <r>
      <rPr>
        <sz val="10"/>
        <rFont val="Arial"/>
        <family val="0"/>
        <charset val="1"/>
      </rPr>
      <t xml:space="preserve">?</t>
    </r>
  </si>
  <si>
    <t xml:space="preserve">A3-07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</si>
  <si>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외국인 근로자 지원센터는 어디에 있나요</t>
    </r>
    <r>
      <rPr>
        <sz val="10"/>
        <rFont val="Arial"/>
        <family val="0"/>
        <charset val="1"/>
      </rPr>
      <t xml:space="preserve">?</t>
    </r>
  </si>
  <si>
    <t xml:space="preserve">A3-08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</si>
  <si>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다국어 생활 안내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베트남어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네팔어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원본은</t>
    </r>
    <r>
      <rPr>
        <sz val="10"/>
        <rFont val="Arial"/>
        <family val="0"/>
        <charset val="1"/>
      </rPr>
      <t xml:space="preserve">?</t>
    </r>
  </si>
  <si>
    <t xml:space="preserve">A3-09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</si>
  <si>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산업 부지 재생 공원의 이름과 운영은</t>
    </r>
    <r>
      <rPr>
        <sz val="10"/>
        <rFont val="Arial"/>
        <family val="0"/>
        <charset val="1"/>
      </rPr>
      <t xml:space="preserve">?</t>
    </r>
  </si>
  <si>
    <t xml:space="preserve">A3-10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</si>
  <si>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KTX</t>
    </r>
    <r>
      <rPr>
        <sz val="10"/>
        <rFont val="Noto Sans CJK SC"/>
        <family val="2"/>
      </rPr>
      <t xml:space="preserve">역에서 산업단지까지 대중교통은</t>
    </r>
    <r>
      <rPr>
        <sz val="10"/>
        <rFont val="Arial"/>
        <family val="0"/>
        <charset val="1"/>
      </rPr>
      <t xml:space="preserve">?</t>
    </r>
  </si>
  <si>
    <t xml:space="preserve">A3-11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</si>
  <si>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지역 대표 음식의 공식 소개 원본은</t>
    </r>
    <r>
      <rPr>
        <sz val="10"/>
        <rFont val="Arial"/>
        <family val="0"/>
        <charset val="1"/>
      </rPr>
      <t xml:space="preserve">?</t>
    </r>
  </si>
  <si>
    <t xml:space="preserve">A3-12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</si>
  <si>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전망대 운영 시간은</t>
    </r>
    <r>
      <rPr>
        <sz val="10"/>
        <rFont val="Arial"/>
        <family val="0"/>
        <charset val="1"/>
      </rPr>
      <t xml:space="preserve">?</t>
    </r>
  </si>
  <si>
    <t xml:space="preserve">A3-13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</si>
  <si>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근대 산업 유산의 지정 여부는</t>
    </r>
    <r>
      <rPr>
        <sz val="10"/>
        <rFont val="Arial"/>
        <family val="0"/>
        <charset val="1"/>
      </rPr>
      <t xml:space="preserve">?</t>
    </r>
  </si>
  <si>
    <t xml:space="preserve">A3-14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</si>
  <si>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지역 대학 평생교육원은 어디에 있나요</t>
    </r>
    <r>
      <rPr>
        <sz val="10"/>
        <rFont val="Arial"/>
        <family val="0"/>
        <charset val="1"/>
      </rPr>
      <t xml:space="preserve">?</t>
    </r>
  </si>
  <si>
    <t xml:space="preserve">A3-15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</si>
  <si>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테크노파크 등 기업 지원 기관은 어디에 있나요</t>
    </r>
    <r>
      <rPr>
        <sz val="10"/>
        <rFont val="Arial"/>
        <family val="0"/>
        <charset val="1"/>
      </rPr>
      <t xml:space="preserve">?</t>
    </r>
  </si>
  <si>
    <t xml:space="preserve">A3-16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</si>
  <si>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외국인 투자 상담 창구는</t>
    </r>
    <r>
      <rPr>
        <sz val="10"/>
        <rFont val="Arial"/>
        <family val="0"/>
        <charset val="1"/>
      </rPr>
      <t xml:space="preserve">?</t>
    </r>
  </si>
  <si>
    <t xml:space="preserve">A3-17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</si>
  <si>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도시 상징물의 유래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공식 자료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?</t>
    </r>
  </si>
  <si>
    <t xml:space="preserve">A3-18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</si>
  <si>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경기장 위치와 대중교통은</t>
    </r>
    <r>
      <rPr>
        <sz val="10"/>
        <rFont val="Arial"/>
        <family val="0"/>
        <charset val="1"/>
      </rPr>
      <t xml:space="preserve">?</t>
    </r>
  </si>
  <si>
    <t xml:space="preserve">A3-19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</si>
  <si>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항만 축제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불꽃 행사 교통 통제는</t>
    </r>
    <r>
      <rPr>
        <sz val="10"/>
        <rFont val="Arial"/>
        <family val="0"/>
        <charset val="1"/>
      </rPr>
      <t xml:space="preserve">?</t>
    </r>
  </si>
  <si>
    <t xml:space="preserve">A3-20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</si>
  <si>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산업 관광 코스의 외국어 안내 여부는</t>
    </r>
    <r>
      <rPr>
        <sz val="10"/>
        <rFont val="Arial"/>
        <family val="0"/>
        <charset val="1"/>
      </rPr>
      <t xml:space="preserve">?</t>
    </r>
  </si>
  <si>
    <t xml:space="preserve">A4-01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</si>
  <si>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정부청사 견학 프로그램 운영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예약은</t>
    </r>
    <r>
      <rPr>
        <sz val="10"/>
        <rFont val="Arial"/>
        <family val="0"/>
        <charset val="1"/>
      </rPr>
      <t xml:space="preserve">?</t>
    </r>
  </si>
  <si>
    <t xml:space="preserve">A4-02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</si>
  <si>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국립 과학관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연구기관 공개 행사 일정은</t>
    </r>
    <r>
      <rPr>
        <sz val="10"/>
        <rFont val="Arial"/>
        <family val="0"/>
        <charset val="1"/>
      </rPr>
      <t xml:space="preserve">?</t>
    </r>
  </si>
  <si>
    <t xml:space="preserve">A4-03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</si>
  <si>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BRT </t>
    </r>
    <r>
      <rPr>
        <sz val="10"/>
        <rFont val="Noto Sans CJK SC"/>
        <family val="2"/>
      </rPr>
      <t xml:space="preserve">노선과 운행 시간은</t>
    </r>
    <r>
      <rPr>
        <sz val="10"/>
        <rFont val="Arial"/>
        <family val="0"/>
        <charset val="1"/>
      </rPr>
      <t xml:space="preserve">?</t>
    </r>
  </si>
  <si>
    <t xml:space="preserve">A4-04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</si>
  <si>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공공자전거 이용 방법은</t>
    </r>
    <r>
      <rPr>
        <sz val="10"/>
        <rFont val="Arial"/>
        <family val="0"/>
        <charset val="1"/>
      </rPr>
      <t xml:space="preserve">?</t>
    </r>
  </si>
  <si>
    <t xml:space="preserve">A4-05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</si>
  <si>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호수공원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수목원 운영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휴관일은</t>
    </r>
    <r>
      <rPr>
        <sz val="10"/>
        <rFont val="Arial"/>
        <family val="0"/>
        <charset val="1"/>
      </rPr>
      <t xml:space="preserve">?</t>
    </r>
  </si>
  <si>
    <t xml:space="preserve">A4-06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</si>
  <si>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국립 시설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도서관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운영 시간은</t>
    </r>
    <r>
      <rPr>
        <sz val="10"/>
        <rFont val="Arial"/>
        <family val="0"/>
        <charset val="1"/>
      </rPr>
      <t xml:space="preserve">?</t>
    </r>
  </si>
  <si>
    <t xml:space="preserve">A4-07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</si>
  <si>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과학 축제 일정은</t>
    </r>
    <r>
      <rPr>
        <sz val="10"/>
        <rFont val="Arial"/>
        <family val="0"/>
        <charset val="1"/>
      </rPr>
      <t xml:space="preserve">?</t>
    </r>
  </si>
  <si>
    <t xml:space="preserve">A4-08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</si>
  <si>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중앙행정기관 입주 현황 원본은</t>
    </r>
    <r>
      <rPr>
        <sz val="10"/>
        <rFont val="Arial"/>
        <family val="0"/>
        <charset val="1"/>
      </rPr>
      <t xml:space="preserve">?</t>
    </r>
  </si>
  <si>
    <t xml:space="preserve">A4-09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</si>
  <si>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생활권 이름과 구역은</t>
    </r>
    <r>
      <rPr>
        <sz val="10"/>
        <rFont val="Arial"/>
        <family val="0"/>
        <charset val="1"/>
      </rPr>
      <t xml:space="preserve">?</t>
    </r>
  </si>
  <si>
    <t xml:space="preserve">A4-10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</si>
  <si>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상권의 주차 정보는</t>
    </r>
    <r>
      <rPr>
        <sz val="10"/>
        <rFont val="Arial"/>
        <family val="0"/>
        <charset val="1"/>
      </rPr>
      <t xml:space="preserve">?</t>
    </r>
  </si>
  <si>
    <t xml:space="preserve">A4-11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</si>
  <si>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KTX</t>
    </r>
    <r>
      <rPr>
        <sz val="10"/>
        <rFont val="Noto Sans CJK SC"/>
        <family val="2"/>
      </rPr>
      <t xml:space="preserve">역에서 도심까지 대중교통은</t>
    </r>
    <r>
      <rPr>
        <sz val="10"/>
        <rFont val="Arial"/>
        <family val="0"/>
        <charset val="1"/>
      </rPr>
      <t xml:space="preserve">?</t>
    </r>
  </si>
  <si>
    <t xml:space="preserve">A4-12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</si>
  <si>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공공 체육시설 예약은</t>
    </r>
    <r>
      <rPr>
        <sz val="10"/>
        <rFont val="Arial"/>
        <family val="0"/>
        <charset val="1"/>
      </rPr>
      <t xml:space="preserve">?</t>
    </r>
  </si>
  <si>
    <t xml:space="preserve">A4-13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</si>
  <si>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박물관 무료 관람일은</t>
    </r>
    <r>
      <rPr>
        <sz val="10"/>
        <rFont val="Arial"/>
        <family val="0"/>
        <charset val="1"/>
      </rPr>
      <t xml:space="preserve">?</t>
    </r>
  </si>
  <si>
    <t xml:space="preserve">A4-14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</si>
  <si>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과학 체험관 예약 필요 여부는</t>
    </r>
    <r>
      <rPr>
        <sz val="10"/>
        <rFont val="Arial"/>
        <family val="0"/>
        <charset val="1"/>
      </rPr>
      <t xml:space="preserve">?</t>
    </r>
  </si>
  <si>
    <t xml:space="preserve">A4-15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</si>
  <si>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시청 민원 콜센터 번호는</t>
    </r>
    <r>
      <rPr>
        <sz val="10"/>
        <rFont val="Arial"/>
        <family val="0"/>
        <charset val="1"/>
      </rPr>
      <t xml:space="preserve">?</t>
    </r>
  </si>
  <si>
    <t xml:space="preserve">A4-16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</si>
  <si>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축제의 장소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일정은</t>
    </r>
    <r>
      <rPr>
        <sz val="10"/>
        <rFont val="Arial"/>
        <family val="0"/>
        <charset val="1"/>
      </rPr>
      <t xml:space="preserve">?</t>
    </r>
  </si>
  <si>
    <t xml:space="preserve">A4-17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</si>
  <si>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외국인 연구자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주민 지원센터는 어디에 있나요</t>
    </r>
    <r>
      <rPr>
        <sz val="10"/>
        <rFont val="Arial"/>
        <family val="0"/>
        <charset val="1"/>
      </rPr>
      <t xml:space="preserve">?</t>
    </r>
  </si>
  <si>
    <t xml:space="preserve">A4-18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</si>
  <si>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산책길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자전거길 이름은</t>
    </r>
    <r>
      <rPr>
        <sz val="10"/>
        <rFont val="Arial"/>
        <family val="0"/>
        <charset val="1"/>
      </rPr>
      <t xml:space="preserve">?</t>
    </r>
  </si>
  <si>
    <t xml:space="preserve">A4-19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</si>
  <si>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새로 개통한 도로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노선의 개통 시기는</t>
    </r>
    <r>
      <rPr>
        <sz val="10"/>
        <rFont val="Arial"/>
        <family val="0"/>
        <charset val="1"/>
      </rPr>
      <t xml:space="preserve">?</t>
    </r>
  </si>
  <si>
    <t xml:space="preserve">A4-20</t>
  </si>
  <si>
    <t xml:space="preserve">A5-01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</si>
  <si>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군내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농어촌 버스 시간표 원본은</t>
    </r>
    <r>
      <rPr>
        <sz val="10"/>
        <rFont val="Arial"/>
        <family val="0"/>
        <charset val="1"/>
      </rPr>
      <t xml:space="preserve">?</t>
    </r>
  </si>
  <si>
    <t xml:space="preserve">A5-02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</si>
  <si>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오일장 날짜는</t>
    </r>
    <r>
      <rPr>
        <sz val="10"/>
        <rFont val="Arial"/>
        <family val="0"/>
        <charset val="1"/>
      </rPr>
      <t xml:space="preserve">?</t>
    </r>
  </si>
  <si>
    <t xml:space="preserve">A5-03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</si>
  <si>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농협 하나로마트 운영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휴무는</t>
    </r>
    <r>
      <rPr>
        <sz val="10"/>
        <rFont val="Arial"/>
        <family val="0"/>
        <charset val="1"/>
      </rPr>
      <t xml:space="preserve">?</t>
    </r>
  </si>
  <si>
    <t xml:space="preserve">A5-04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</si>
  <si>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산 탐방로 입산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통제는</t>
    </r>
    <r>
      <rPr>
        <sz val="10"/>
        <rFont val="Arial"/>
        <family val="0"/>
        <charset val="1"/>
      </rPr>
      <t xml:space="preserve">?</t>
    </r>
  </si>
  <si>
    <t xml:space="preserve">A5-05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</si>
  <si>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동절기 탐방로 운영 변경은</t>
    </r>
    <r>
      <rPr>
        <sz val="10"/>
        <rFont val="Arial"/>
        <family val="0"/>
        <charset val="1"/>
      </rPr>
      <t xml:space="preserve">?</t>
    </r>
  </si>
  <si>
    <t xml:space="preserve">A5-06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</si>
  <si>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스키장 개장 기간은</t>
    </r>
    <r>
      <rPr>
        <sz val="10"/>
        <rFont val="Arial"/>
        <family val="0"/>
        <charset val="1"/>
      </rPr>
      <t xml:space="preserve">?</t>
    </r>
  </si>
  <si>
    <t xml:space="preserve">A5-07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</si>
  <si>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자연휴양림 예약 여부는</t>
    </r>
    <r>
      <rPr>
        <sz val="10"/>
        <rFont val="Arial"/>
        <family val="0"/>
        <charset val="1"/>
      </rPr>
      <t xml:space="preserve">?</t>
    </r>
  </si>
  <si>
    <t xml:space="preserve">A5-08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</si>
  <si>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접경 지역 전망대 출입 절차 원본은</t>
    </r>
    <r>
      <rPr>
        <sz val="10"/>
        <rFont val="Arial"/>
        <family val="0"/>
        <charset val="1"/>
      </rPr>
      <t xml:space="preserve">?</t>
    </r>
  </si>
  <si>
    <t xml:space="preserve">A5-09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</si>
  <si>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농촌 체험 마을 프로그램 운영 기간은</t>
    </r>
    <r>
      <rPr>
        <sz val="10"/>
        <rFont val="Arial"/>
        <family val="0"/>
        <charset val="1"/>
      </rPr>
      <t xml:space="preserve">?</t>
    </r>
  </si>
  <si>
    <t xml:space="preserve">A5-10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</si>
  <si>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지역 특산물의 지리적 표시 등록 여부는</t>
    </r>
    <r>
      <rPr>
        <sz val="10"/>
        <rFont val="Arial"/>
        <family val="0"/>
        <charset val="1"/>
      </rPr>
      <t xml:space="preserve">?</t>
    </r>
  </si>
  <si>
    <t xml:space="preserve">A5-11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</si>
  <si>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겨울 축제의 올해 일정은</t>
    </r>
    <r>
      <rPr>
        <sz val="10"/>
        <rFont val="Arial"/>
        <family val="0"/>
        <charset val="1"/>
      </rPr>
      <t xml:space="preserve">?</t>
    </r>
  </si>
  <si>
    <t xml:space="preserve">A5-12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</si>
  <si>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템플스테이 운영 사찰은</t>
    </r>
    <r>
      <rPr>
        <sz val="10"/>
        <rFont val="Arial"/>
        <family val="0"/>
        <charset val="1"/>
      </rPr>
      <t xml:space="preserve">?</t>
    </r>
  </si>
  <si>
    <t xml:space="preserve">A5-13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</si>
  <si>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귀농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귀촌 지원센터는 어디에 있나요</t>
    </r>
    <r>
      <rPr>
        <sz val="10"/>
        <rFont val="Arial"/>
        <family val="0"/>
        <charset val="1"/>
      </rPr>
      <t xml:space="preserve">?</t>
    </r>
  </si>
  <si>
    <t xml:space="preserve">A5-14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</si>
  <si>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군청 민원실 운영 시간은</t>
    </r>
    <r>
      <rPr>
        <sz val="10"/>
        <rFont val="Arial"/>
        <family val="0"/>
        <charset val="1"/>
      </rPr>
      <t xml:space="preserve">?</t>
    </r>
  </si>
  <si>
    <t xml:space="preserve">A5-15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</si>
  <si>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겨울철 도로 통제 확인 방법 원본은</t>
    </r>
    <r>
      <rPr>
        <sz val="10"/>
        <rFont val="Arial"/>
        <family val="0"/>
        <charset val="1"/>
      </rPr>
      <t xml:space="preserve">?</t>
    </r>
  </si>
  <si>
    <t xml:space="preserve">A5-16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</si>
  <si>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온천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휴양 시설 운영 시간은</t>
    </r>
    <r>
      <rPr>
        <sz val="10"/>
        <rFont val="Arial"/>
        <family val="0"/>
        <charset val="1"/>
      </rPr>
      <t xml:space="preserve">?</t>
    </r>
  </si>
  <si>
    <t xml:space="preserve">A5-17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</si>
  <si>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군 단위 지역 화폐 이름은</t>
    </r>
    <r>
      <rPr>
        <sz val="10"/>
        <rFont val="Arial"/>
        <family val="0"/>
        <charset val="1"/>
      </rPr>
      <t xml:space="preserve">?</t>
    </r>
  </si>
  <si>
    <t xml:space="preserve">A5-18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</si>
  <si>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시외버스 터미널 위치와 서울행 첫차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막차는</t>
    </r>
    <r>
      <rPr>
        <sz val="10"/>
        <rFont val="Arial"/>
        <family val="0"/>
        <charset val="1"/>
      </rPr>
      <t xml:space="preserve">?</t>
    </r>
  </si>
  <si>
    <t xml:space="preserve">A5-19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</si>
  <si>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캠핑장 운영 기간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예약은</t>
    </r>
    <r>
      <rPr>
        <sz val="10"/>
        <rFont val="Arial"/>
        <family val="0"/>
        <charset val="1"/>
      </rPr>
      <t xml:space="preserve">?</t>
    </r>
  </si>
  <si>
    <t xml:space="preserve">A5-20</t>
  </si>
  <si>
    <t xml:space="preserve">A6-01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</si>
  <si>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국가유산 관람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휴무일은</t>
    </r>
    <r>
      <rPr>
        <sz val="10"/>
        <rFont val="Arial"/>
        <family val="0"/>
        <charset val="1"/>
      </rPr>
      <t xml:space="preserve">?</t>
    </r>
  </si>
  <si>
    <t xml:space="preserve">A6-02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</si>
  <si>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야간 개장 기간은</t>
    </r>
    <r>
      <rPr>
        <sz val="10"/>
        <rFont val="Arial"/>
        <family val="0"/>
        <charset val="1"/>
      </rPr>
      <t xml:space="preserve">?</t>
    </r>
  </si>
  <si>
    <t xml:space="preserve">A6-03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</si>
  <si>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관람료와 할인 대상 원본은</t>
    </r>
    <r>
      <rPr>
        <sz val="10"/>
        <rFont val="Arial"/>
        <family val="0"/>
        <charset val="1"/>
      </rPr>
      <t xml:space="preserve">?</t>
    </r>
  </si>
  <si>
    <t xml:space="preserve">A6-04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</si>
  <si>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문화관광해설사 해설 시간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언어는</t>
    </r>
    <r>
      <rPr>
        <sz val="10"/>
        <rFont val="Arial"/>
        <family val="0"/>
        <charset val="1"/>
      </rPr>
      <t xml:space="preserve">?</t>
    </r>
  </si>
  <si>
    <t xml:space="preserve">A6-05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</si>
  <si>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한복 착용 무료 입장 제도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있는 경우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?</t>
    </r>
  </si>
  <si>
    <t xml:space="preserve">A6-06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</si>
  <si>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한옥마을 운영 정보 원본은</t>
    </r>
    <r>
      <rPr>
        <sz val="10"/>
        <rFont val="Arial"/>
        <family val="0"/>
        <charset val="1"/>
      </rPr>
      <t xml:space="preserve">?</t>
    </r>
  </si>
  <si>
    <t xml:space="preserve">A6-07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</si>
  <si>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전통 공연 일정은</t>
    </r>
    <r>
      <rPr>
        <sz val="10"/>
        <rFont val="Arial"/>
        <family val="0"/>
        <charset val="1"/>
      </rPr>
      <t xml:space="preserve">?</t>
    </r>
  </si>
  <si>
    <t xml:space="preserve">A6-08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</si>
  <si>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유산의 국가유산 지정 구분은</t>
    </r>
    <r>
      <rPr>
        <sz val="10"/>
        <rFont val="Arial"/>
        <family val="0"/>
        <charset val="1"/>
      </rPr>
      <t xml:space="preserve">?</t>
    </r>
  </si>
  <si>
    <t xml:space="preserve">A6-09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</si>
  <si>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박물관 특별 전시 기간은</t>
    </r>
    <r>
      <rPr>
        <sz val="10"/>
        <rFont val="Arial"/>
        <family val="0"/>
        <charset val="1"/>
      </rPr>
      <t xml:space="preserve">?</t>
    </r>
  </si>
  <si>
    <t xml:space="preserve">A6-10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</si>
  <si>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사찰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서원 개방 시간은</t>
    </r>
    <r>
      <rPr>
        <sz val="10"/>
        <rFont val="Arial"/>
        <family val="0"/>
        <charset val="1"/>
      </rPr>
      <t xml:space="preserve">?</t>
    </r>
  </si>
  <si>
    <t xml:space="preserve">A6-11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</si>
  <si>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역사 축제의 올해 일정은</t>
    </r>
    <r>
      <rPr>
        <sz val="10"/>
        <rFont val="Arial"/>
        <family val="0"/>
        <charset val="1"/>
      </rPr>
      <t xml:space="preserve">?</t>
    </r>
  </si>
  <si>
    <t xml:space="preserve">A6-12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</si>
  <si>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유적지 주차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대중교통은</t>
    </r>
    <r>
      <rPr>
        <sz val="10"/>
        <rFont val="Arial"/>
        <family val="0"/>
        <charset val="1"/>
      </rPr>
      <t xml:space="preserve">?</t>
    </r>
  </si>
  <si>
    <t xml:space="preserve">A6-13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</si>
  <si>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도보 역사 탐방 코스 이름과 구간은</t>
    </r>
    <r>
      <rPr>
        <sz val="10"/>
        <rFont val="Arial"/>
        <family val="0"/>
        <charset val="1"/>
      </rPr>
      <t xml:space="preserve">?</t>
    </r>
  </si>
  <si>
    <t xml:space="preserve">A6-14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</si>
  <si>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전통시장 대표 음식의 공식 소개 원본은</t>
    </r>
    <r>
      <rPr>
        <sz val="10"/>
        <rFont val="Arial"/>
        <family val="0"/>
        <charset val="1"/>
      </rPr>
      <t xml:space="preserve">?</t>
    </r>
  </si>
  <si>
    <t xml:space="preserve">A6-15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</si>
  <si>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지역 출신 역사 인물 기념관 운영은</t>
    </r>
    <r>
      <rPr>
        <sz val="10"/>
        <rFont val="Arial"/>
        <family val="0"/>
        <charset val="1"/>
      </rPr>
      <t xml:space="preserve">?</t>
    </r>
  </si>
  <si>
    <t xml:space="preserve">A6-16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</si>
  <si>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복원 공사로 관람이 제한된 곳은</t>
    </r>
    <r>
      <rPr>
        <sz val="10"/>
        <rFont val="Arial"/>
        <family val="0"/>
        <charset val="1"/>
      </rPr>
      <t xml:space="preserve">?</t>
    </r>
  </si>
  <si>
    <t xml:space="preserve">A6-17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</si>
  <si>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관광지의 휠체어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유모차 접근 정보 원본은</t>
    </r>
    <r>
      <rPr>
        <sz val="10"/>
        <rFont val="Arial"/>
        <family val="0"/>
        <charset val="1"/>
      </rPr>
      <t xml:space="preserve">?</t>
    </r>
  </si>
  <si>
    <t xml:space="preserve">A6-18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</si>
  <si>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대표 유산의 공식 다국어 명칭은</t>
    </r>
    <r>
      <rPr>
        <sz val="10"/>
        <rFont val="Arial"/>
        <family val="0"/>
        <charset val="1"/>
      </rPr>
      <t xml:space="preserve">?</t>
    </r>
  </si>
  <si>
    <t xml:space="preserve">A6-19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</si>
  <si>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지역 문화관광재단 공식 누리집은</t>
    </r>
    <r>
      <rPr>
        <sz val="10"/>
        <rFont val="Arial"/>
        <family val="0"/>
        <charset val="1"/>
      </rPr>
      <t xml:space="preserve">?</t>
    </r>
  </si>
  <si>
    <t xml:space="preserve">A6-20</t>
  </si>
  <si>
    <r>
      <rPr>
        <sz val="10"/>
        <rFont val="Arial"/>
        <family val="0"/>
        <charset val="1"/>
      </rPr>
      <t xml:space="preserve">{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} </t>
    </r>
    <r>
      <rPr>
        <sz val="10"/>
        <rFont val="Noto Sans CJK SC"/>
        <family val="2"/>
      </rPr>
      <t xml:space="preserve">공식 인증 기념품은</t>
    </r>
    <r>
      <rPr>
        <sz val="10"/>
        <rFont val="Arial"/>
        <family val="0"/>
        <charset val="1"/>
      </rPr>
      <t xml:space="preserve">?</t>
    </r>
  </si>
  <si>
    <r>
      <rPr>
        <b val="true"/>
        <sz val="14"/>
        <color rgb="FF14213D"/>
        <rFont val="Arial"/>
        <family val="0"/>
        <charset val="1"/>
      </rPr>
      <t xml:space="preserve">17</t>
    </r>
    <r>
      <rPr>
        <b val="true"/>
        <sz val="14"/>
        <color rgb="FF14213D"/>
        <rFont val="Noto Sans CJK SC"/>
        <family val="2"/>
      </rPr>
      <t xml:space="preserve">개 시</t>
    </r>
    <r>
      <rPr>
        <b val="true"/>
        <sz val="14"/>
        <color rgb="FF14213D"/>
        <rFont val="Arial"/>
        <family val="0"/>
        <charset val="1"/>
      </rPr>
      <t xml:space="preserve">·</t>
    </r>
    <r>
      <rPr>
        <b val="true"/>
        <sz val="14"/>
        <color rgb="FF14213D"/>
        <rFont val="Noto Sans CJK SC"/>
        <family val="2"/>
      </rPr>
      <t xml:space="preserve">도 배정 </t>
    </r>
    <r>
      <rPr>
        <b val="true"/>
        <sz val="14"/>
        <color rgb="FF14213D"/>
        <rFont val="Arial"/>
        <family val="0"/>
        <charset val="1"/>
      </rPr>
      <t xml:space="preserve">(</t>
    </r>
    <r>
      <rPr>
        <b val="true"/>
        <sz val="14"/>
        <color rgb="FF14213D"/>
        <rFont val="Noto Sans CJK SC"/>
        <family val="2"/>
      </rPr>
      <t xml:space="preserve">초안</t>
    </r>
    <r>
      <rPr>
        <b val="true"/>
        <sz val="14"/>
        <color rgb="FF14213D"/>
        <rFont val="Arial"/>
        <family val="0"/>
        <charset val="1"/>
      </rPr>
      <t xml:space="preserve">)</t>
    </r>
  </si>
  <si>
    <r>
      <rPr>
        <i val="true"/>
        <sz val="10"/>
        <color rgb="FF4A5361"/>
        <rFont val="Noto Sans CJK SC"/>
        <family val="2"/>
      </rPr>
      <t xml:space="preserve">유형 배정과 측정 언어는 가정</t>
    </r>
    <r>
      <rPr>
        <i val="true"/>
        <sz val="10"/>
        <color rgb="FF4A5361"/>
        <rFont val="Arial"/>
        <family val="0"/>
        <charset val="1"/>
      </rPr>
      <t xml:space="preserve">. </t>
    </r>
    <r>
      <rPr>
        <i val="true"/>
        <sz val="10"/>
        <color rgb="FF4A5361"/>
        <rFont val="Noto Sans CJK SC"/>
        <family val="2"/>
      </rPr>
      <t xml:space="preserve">변경 이력은 </t>
    </r>
    <r>
      <rPr>
        <i val="true"/>
        <sz val="10"/>
        <color rgb="FF4A5361"/>
        <rFont val="Arial"/>
        <family val="0"/>
        <charset val="1"/>
      </rPr>
      <t xml:space="preserve">AI </t>
    </r>
    <r>
      <rPr>
        <i val="true"/>
        <sz val="10"/>
        <color rgb="FF4A5361"/>
        <rFont val="Noto Sans CJK SC"/>
        <family val="2"/>
      </rPr>
      <t xml:space="preserve">오답 후보이며 측정 전 공식 원본과 대조 필요</t>
    </r>
  </si>
  <si>
    <r>
      <rPr>
        <b val="true"/>
        <sz val="10"/>
        <color rgb="FFFFFFFF"/>
        <rFont val="Noto Sans CJK SC"/>
        <family val="2"/>
      </rPr>
      <t xml:space="preserve">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도</t>
    </r>
  </si>
  <si>
    <t xml:space="preserve">구분</t>
  </si>
  <si>
    <t xml:space="preserve">주 유형</t>
  </si>
  <si>
    <t xml:space="preserve">보조 유형</t>
  </si>
  <si>
    <t xml:space="preserve">수능 주간 측정 언어</t>
  </si>
  <si>
    <r>
      <rPr>
        <b val="true"/>
        <sz val="10"/>
        <color rgb="FFFFFFFF"/>
        <rFont val="Noto Sans CJK SC"/>
        <family val="2"/>
      </rPr>
      <t xml:space="preserve">변경 이력 후보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원본 대조 필요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</si>
  <si>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시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도별 문항 수</t>
    </r>
  </si>
  <si>
    <t xml:space="preserve">서울특별시</t>
  </si>
  <si>
    <t xml:space="preserve">특별시</t>
  </si>
  <si>
    <r>
      <rPr>
        <sz val="10"/>
        <rFont val="Noto Sans CJK SC"/>
        <family val="2"/>
      </rPr>
      <t xml:space="preserve">한국어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일본어</t>
    </r>
  </si>
  <si>
    <t xml:space="preserve">없음</t>
  </si>
  <si>
    <t xml:space="preserve">부산광역시</t>
  </si>
  <si>
    <t xml:space="preserve">광역시</t>
  </si>
  <si>
    <t xml:space="preserve">대구광역시</t>
  </si>
  <si>
    <r>
      <rPr>
        <sz val="10"/>
        <rFont val="Noto Sans CJK SC"/>
        <family val="2"/>
      </rPr>
      <t xml:space="preserve">한국어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영어</t>
    </r>
  </si>
  <si>
    <r>
      <rPr>
        <sz val="10"/>
        <rFont val="Noto Sans CJK SC"/>
        <family val="2"/>
      </rPr>
      <t xml:space="preserve">군위군 편입 </t>
    </r>
    <r>
      <rPr>
        <sz val="10"/>
        <rFont val="Arial"/>
        <family val="0"/>
        <charset val="1"/>
      </rPr>
      <t xml:space="preserve">(2023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</si>
  <si>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인천광역시</t>
  </si>
  <si>
    <r>
      <rPr>
        <sz val="10"/>
        <rFont val="Noto Sans CJK SC"/>
        <family val="2"/>
      </rPr>
      <t xml:space="preserve">남구 → 미추홀구 </t>
    </r>
    <r>
      <rPr>
        <sz val="10"/>
        <rFont val="Arial"/>
        <family val="0"/>
        <charset val="1"/>
      </rPr>
      <t xml:space="preserve">(2018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</si>
  <si>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광주광역시</t>
  </si>
  <si>
    <t xml:space="preserve">대전광역시</t>
  </si>
  <si>
    <t xml:space="preserve">울산광역시</t>
  </si>
  <si>
    <t xml:space="preserve">세종특별자치시</t>
  </si>
  <si>
    <t xml:space="preserve">특별자치시</t>
  </si>
  <si>
    <r>
      <rPr>
        <sz val="10"/>
        <rFont val="Noto Sans CJK SC"/>
        <family val="2"/>
      </rPr>
      <t xml:space="preserve">출범 </t>
    </r>
    <r>
      <rPr>
        <sz val="10"/>
        <rFont val="Arial"/>
        <family val="0"/>
        <charset val="1"/>
      </rPr>
      <t xml:space="preserve">(2012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</si>
  <si>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경기도</t>
  </si>
  <si>
    <t xml:space="preserve">도</t>
  </si>
  <si>
    <r>
      <rPr>
        <sz val="10"/>
        <rFont val="Noto Sans CJK SC"/>
        <family val="2"/>
      </rPr>
      <t xml:space="preserve">한국어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중국어</t>
    </r>
  </si>
  <si>
    <r>
      <rPr>
        <sz val="10"/>
        <rFont val="Noto Sans CJK SC"/>
        <family val="2"/>
      </rPr>
      <t xml:space="preserve">도청 광교 신청사 이전 </t>
    </r>
    <r>
      <rPr>
        <sz val="10"/>
        <rFont val="Arial"/>
        <family val="0"/>
        <charset val="1"/>
      </rPr>
      <t xml:space="preserve">(2022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</si>
  <si>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강원특별자치도</t>
  </si>
  <si>
    <t xml:space="preserve">특별자치도</t>
  </si>
  <si>
    <r>
      <rPr>
        <sz val="10"/>
        <rFont val="Noto Sans CJK SC"/>
        <family val="2"/>
      </rPr>
      <t xml:space="preserve">강원도 → 강원특별자치도 </t>
    </r>
    <r>
      <rPr>
        <sz val="10"/>
        <rFont val="Arial"/>
        <family val="0"/>
        <charset val="1"/>
      </rPr>
      <t xml:space="preserve">(2023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</si>
  <si>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충청북도</t>
  </si>
  <si>
    <t xml:space="preserve">충청남도</t>
  </si>
  <si>
    <r>
      <rPr>
        <sz val="10"/>
        <rFont val="Noto Sans CJK SC"/>
        <family val="2"/>
      </rPr>
      <t xml:space="preserve">도청 내포신도시 이전 </t>
    </r>
    <r>
      <rPr>
        <sz val="10"/>
        <rFont val="Arial"/>
        <family val="0"/>
        <charset val="1"/>
      </rPr>
      <t xml:space="preserve">(2012~2013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</si>
  <si>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전북특별자치도</t>
  </si>
  <si>
    <r>
      <rPr>
        <sz val="10"/>
        <rFont val="Noto Sans CJK SC"/>
        <family val="2"/>
      </rPr>
      <t xml:space="preserve">전라북도 → 전북특별자치도 </t>
    </r>
    <r>
      <rPr>
        <sz val="10"/>
        <rFont val="Arial"/>
        <family val="0"/>
        <charset val="1"/>
      </rPr>
      <t xml:space="preserve">(2024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</si>
  <si>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전라남도</t>
  </si>
  <si>
    <r>
      <rPr>
        <sz val="10"/>
        <rFont val="Noto Sans CJK SC"/>
        <family val="2"/>
      </rPr>
      <t xml:space="preserve">도청 무안 이전 </t>
    </r>
    <r>
      <rPr>
        <sz val="10"/>
        <rFont val="Arial"/>
        <family val="0"/>
        <charset val="1"/>
      </rPr>
      <t xml:space="preserve">(2005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</si>
  <si>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경상북도</t>
  </si>
  <si>
    <r>
      <rPr>
        <sz val="10"/>
        <rFont val="Noto Sans CJK SC"/>
        <family val="2"/>
      </rPr>
      <t xml:space="preserve">도청 안동 이전 </t>
    </r>
    <r>
      <rPr>
        <sz val="10"/>
        <rFont val="Arial"/>
        <family val="0"/>
        <charset val="1"/>
      </rPr>
      <t xml:space="preserve">(2016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군위군 대구 편입 </t>
    </r>
    <r>
      <rPr>
        <sz val="10"/>
        <rFont val="Arial"/>
        <family val="0"/>
        <charset val="1"/>
      </rPr>
      <t xml:space="preserve">(2023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</si>
  <si>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경상남도</t>
  </si>
  <si>
    <t xml:space="preserve">제주특별자치도</t>
  </si>
  <si>
    <r>
      <rPr>
        <sz val="10"/>
        <rFont val="Noto Sans CJK SC"/>
        <family val="2"/>
      </rPr>
      <t xml:space="preserve">제주도 → 제주특별자치도 </t>
    </r>
    <r>
      <rPr>
        <sz val="10"/>
        <rFont val="Arial"/>
        <family val="0"/>
        <charset val="1"/>
      </rPr>
      <t xml:space="preserve">(2006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</si>
  <si>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판정 분류와 확인 등급</t>
  </si>
  <si>
    <t xml:space="preserve">모든 측정에 공통으로 쓰는 기준</t>
  </si>
  <si>
    <t xml:space="preserve">뜻</t>
  </si>
  <si>
    <t xml:space="preserve">정확</t>
  </si>
  <si>
    <t xml:space="preserve">확인된 정답과 일치</t>
  </si>
  <si>
    <t xml:space="preserve">옛 정보</t>
  </si>
  <si>
    <r>
      <rPr>
        <sz val="10"/>
        <rFont val="Noto Sans CJK SC"/>
        <family val="2"/>
      </rPr>
      <t xml:space="preserve">과거에는 맞았던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유효 구간이 끝난 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</si>
  <si>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강원도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전라북도 같은 옛 명칭</t>
    </r>
  </si>
  <si>
    <t xml:space="preserve">혼동</t>
  </si>
  <si>
    <t xml:space="preserve">다른 대상과 섞음</t>
  </si>
  <si>
    <r>
      <rPr>
        <sz val="10"/>
        <rFont val="Noto Sans CJK SC"/>
        <family val="2"/>
      </rPr>
      <t xml:space="preserve">같은 이름의 다른 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시설</t>
    </r>
  </si>
  <si>
    <t xml:space="preserve">없는 사실</t>
  </si>
  <si>
    <t xml:space="preserve">근거 없는 내용을 사실처럼</t>
  </si>
  <si>
    <r>
      <rPr>
        <sz val="10"/>
        <rFont val="Noto Sans CJK SC"/>
        <family val="2"/>
      </rPr>
      <t xml:space="preserve">없는 축제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시설</t>
    </r>
  </si>
  <si>
    <t xml:space="preserve">단정</t>
  </si>
  <si>
    <t xml:space="preserve">확인할 수 없는 것을 단정</t>
  </si>
  <si>
    <t xml:space="preserve">“반드시 예약해야 합니다”</t>
  </si>
  <si>
    <t xml:space="preserve">정직한 모름</t>
  </si>
  <si>
    <r>
      <rPr>
        <sz val="10"/>
        <rFont val="Noto Sans CJK SC"/>
        <family val="2"/>
      </rPr>
      <t xml:space="preserve">정보가 없을 때 모른다고 답함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잘한 점으로 셈</t>
    </r>
    <r>
      <rPr>
        <sz val="10"/>
        <rFont val="Arial"/>
        <family val="0"/>
        <charset val="1"/>
      </rPr>
      <t xml:space="preserve">)</t>
    </r>
  </si>
  <si>
    <t xml:space="preserve">L1</t>
  </si>
  <si>
    <t xml:space="preserve">공식 원본과 대조</t>
  </si>
  <si>
    <r>
      <rPr>
        <sz val="10"/>
        <rFont val="Noto Sans CJK SC"/>
        <family val="2"/>
      </rPr>
      <t xml:space="preserve">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 공식 누리집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공공 데이터</t>
    </r>
  </si>
  <si>
    <t xml:space="preserve">L2</t>
  </si>
  <si>
    <t xml:space="preserve">당사자 확인</t>
  </si>
  <si>
    <r>
      <rPr>
        <sz val="10"/>
        <rFont val="Noto Sans CJK SC"/>
        <family val="2"/>
      </rPr>
      <t xml:space="preserve">주최 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시설 관리자</t>
    </r>
  </si>
  <si>
    <t xml:space="preserve">L3</t>
  </si>
  <si>
    <t xml:space="preserve">현장 확인 또는 전문 검토</t>
  </si>
  <si>
    <r>
      <rPr>
        <sz val="10"/>
        <rFont val="Noto Sans CJK SC"/>
        <family val="2"/>
      </rPr>
      <t xml:space="preserve">현장 방문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지역 전문가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</si>
</sst>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b val="true"/>
      <sz val="14"/>
      <color rgb="FF14213D"/>
      <name val="Noto Sans CJK SC"/>
      <family val="2"/>
    </font>
    <font>
      <i val="true"/>
      <sz val="10"/>
      <color rgb="FF4A5361"/>
      <name val="Noto Sans CJK SC"/>
      <family val="2"/>
    </font>
    <font>
      <i val="true"/>
      <sz val="10"/>
      <color rgb="FF4A5361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36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  <c r="E4" s="3" t="s">
        <v>3</v>
      </c>
    </row>
    <row r="5" customFormat="false" ht="15" hidden="false" customHeight="false" outlineLevel="0" collapsed="false">
      <c r="A5" s="4" t="s">
        <v>5</v>
      </c>
      <c r="B5" s="4" t="s">
        <v>6</v>
      </c>
      <c r="D5" s="5" t="s">
        <v>7</v>
      </c>
      <c r="E5" s="6" t="n">
        <v>3</v>
      </c>
    </row>
    <row r="6" customFormat="false" ht="15" hidden="false" customHeight="false" outlineLevel="0" collapsed="false">
      <c r="A6" s="7" t="s">
        <v>8</v>
      </c>
      <c r="B6" s="8" t="n">
        <f aca="false">COUNTA('공통 30'!C4:C33)</f>
        <v>30</v>
      </c>
      <c r="D6" s="7" t="s">
        <v>9</v>
      </c>
      <c r="E6" s="6" t="n">
        <v>2</v>
      </c>
    </row>
    <row r="7" customFormat="false" ht="15" hidden="false" customHeight="false" outlineLevel="0" collapsed="false">
      <c r="A7" s="7" t="s">
        <v>10</v>
      </c>
      <c r="B7" s="8" t="n">
        <f aca="false">COUNTA('유형별 특화 20'!C4:C123)</f>
        <v>120</v>
      </c>
      <c r="D7" s="7" t="s">
        <v>11</v>
      </c>
      <c r="E7" s="6" t="n">
        <v>4</v>
      </c>
    </row>
    <row r="8" customFormat="false" ht="15" hidden="false" customHeight="false" outlineLevel="0" collapsed="false">
      <c r="A8" s="7" t="s">
        <v>12</v>
      </c>
      <c r="B8" s="8" t="n">
        <f aca="false">COUNTIF('공통 30'!E4:E33,"예")</f>
        <v>16</v>
      </c>
      <c r="D8" s="7" t="s">
        <v>13</v>
      </c>
      <c r="E8" s="6" t="n">
        <v>3</v>
      </c>
    </row>
    <row r="9" customFormat="false" ht="15" hidden="false" customHeight="false" outlineLevel="0" collapsed="false">
      <c r="A9" s="7" t="s">
        <v>14</v>
      </c>
      <c r="B9" s="8" t="n">
        <f aca="false">COUNTIF('공통 30'!F4:F33,"상")</f>
        <v>12</v>
      </c>
    </row>
    <row r="10" customFormat="false" ht="15" hidden="false" customHeight="false" outlineLevel="0" collapsed="false">
      <c r="A10" s="5" t="s">
        <v>15</v>
      </c>
      <c r="B10" s="8" t="n">
        <f aca="false">COUNTIF('공통 30'!H4:H33,"포함")</f>
        <v>15</v>
      </c>
      <c r="D10" s="9" t="s">
        <v>16</v>
      </c>
      <c r="E10" s="10" t="n">
        <f aca="false">B10*B11*E5*E6*E8</f>
        <v>4590</v>
      </c>
    </row>
    <row r="11" customFormat="false" ht="15" hidden="false" customHeight="false" outlineLevel="0" collapsed="false">
      <c r="A11" s="7" t="s">
        <v>17</v>
      </c>
      <c r="B11" s="8" t="n">
        <f aca="false">COUNTA('17개 시·도'!A4:A20)</f>
        <v>17</v>
      </c>
      <c r="D11" s="4" t="s">
        <v>18</v>
      </c>
      <c r="E11" s="10" t="n">
        <f aca="false">SUM('17개 시·도'!G4:G20)*E5*E7*E8</f>
        <v>42840</v>
      </c>
    </row>
    <row r="12" customFormat="false" ht="15" hidden="false" customHeight="false" outlineLevel="0" collapsed="false">
      <c r="D12" s="2" t="s">
        <v>19</v>
      </c>
    </row>
    <row r="14" customFormat="false" ht="15" hidden="false" customHeight="false" outlineLevel="0" collapsed="false">
      <c r="A14" s="4" t="s">
        <v>20</v>
      </c>
    </row>
    <row r="15" customFormat="false" ht="15" hidden="false" customHeight="false" outlineLevel="0" collapsed="false">
      <c r="A15" s="3" t="s">
        <v>21</v>
      </c>
      <c r="B15" s="3" t="s">
        <v>22</v>
      </c>
      <c r="C15" s="3" t="s">
        <v>23</v>
      </c>
    </row>
    <row r="16" customFormat="false" ht="15" hidden="false" customHeight="false" outlineLevel="0" collapsed="false">
      <c r="A16" s="7" t="s">
        <v>24</v>
      </c>
      <c r="B16" s="8" t="n">
        <f aca="false">COUNTIF('유형별 특화 20'!$B$4:$B$123,A16)</f>
        <v>20</v>
      </c>
      <c r="C16" s="8" t="n">
        <f aca="false">COUNTIF('17개 시·도'!$C$4:$C$20,A16)+COUNTIF('17개 시·도'!$D$4:$D$20,A16)</f>
        <v>6</v>
      </c>
    </row>
    <row r="17" customFormat="false" ht="15" hidden="false" customHeight="false" outlineLevel="0" collapsed="false">
      <c r="A17" s="7" t="s">
        <v>25</v>
      </c>
      <c r="B17" s="8" t="n">
        <f aca="false">COUNTIF('유형별 특화 20'!$B$4:$B$123,A17)</f>
        <v>20</v>
      </c>
      <c r="C17" s="8" t="n">
        <f aca="false">COUNTIF('17개 시·도'!$C$4:$C$20,A17)+COUNTIF('17개 시·도'!$D$4:$D$20,A17)</f>
        <v>8</v>
      </c>
    </row>
    <row r="18" customFormat="false" ht="15" hidden="false" customHeight="false" outlineLevel="0" collapsed="false">
      <c r="A18" s="7" t="s">
        <v>26</v>
      </c>
      <c r="B18" s="8" t="n">
        <f aca="false">COUNTIF('유형별 특화 20'!$B$4:$B$123,A18)</f>
        <v>20</v>
      </c>
      <c r="C18" s="8" t="n">
        <f aca="false">COUNTIF('17개 시·도'!$C$4:$C$20,A18)+COUNTIF('17개 시·도'!$D$4:$D$20,A18)</f>
        <v>4</v>
      </c>
    </row>
    <row r="19" customFormat="false" ht="15" hidden="false" customHeight="false" outlineLevel="0" collapsed="false">
      <c r="A19" s="7" t="s">
        <v>27</v>
      </c>
      <c r="B19" s="8" t="n">
        <f aca="false">COUNTIF('유형별 특화 20'!$B$4:$B$123,A19)</f>
        <v>20</v>
      </c>
      <c r="C19" s="8" t="n">
        <f aca="false">COUNTIF('17개 시·도'!$C$4:$C$20,A19)+COUNTIF('17개 시·도'!$D$4:$D$20,A19)</f>
        <v>3</v>
      </c>
    </row>
    <row r="20" customFormat="false" ht="15" hidden="false" customHeight="false" outlineLevel="0" collapsed="false">
      <c r="A20" s="7" t="s">
        <v>28</v>
      </c>
      <c r="B20" s="8" t="n">
        <f aca="false">COUNTIF('유형별 특화 20'!$B$4:$B$123,A20)</f>
        <v>20</v>
      </c>
      <c r="C20" s="8" t="n">
        <f aca="false">COUNTIF('17개 시·도'!$C$4:$C$20,A20)+COUNTIF('17개 시·도'!$D$4:$D$20,A20)</f>
        <v>7</v>
      </c>
    </row>
    <row r="21" customFormat="false" ht="15" hidden="false" customHeight="false" outlineLevel="0" collapsed="false">
      <c r="A21" s="7" t="s">
        <v>29</v>
      </c>
      <c r="B21" s="8" t="n">
        <f aca="false">COUNTIF('유형별 특화 20'!$B$4:$B$123,A21)</f>
        <v>20</v>
      </c>
      <c r="C21" s="8" t="n">
        <f aca="false">COUNTIF('17개 시·도'!$C$4:$C$20,A21)+COUNTIF('17개 시·도'!$D$4:$D$20,A21)</f>
        <v>6</v>
      </c>
    </row>
    <row r="23" customFormat="false" ht="15" hidden="false" customHeight="false" outlineLevel="0" collapsed="false">
      <c r="A23" s="4" t="s">
        <v>30</v>
      </c>
    </row>
    <row r="24" customFormat="false" ht="15" hidden="false" customHeight="false" outlineLevel="0" collapsed="false">
      <c r="A24" s="2" t="s">
        <v>31</v>
      </c>
    </row>
    <row r="25" customFormat="false" ht="15" hidden="false" customHeight="false" outlineLevel="0" collapsed="false">
      <c r="A25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6" hidden="false" customHeight="false" outlineLevel="0" collapsed="false">
      <c r="A1" s="11" t="s">
        <v>33</v>
      </c>
    </row>
    <row r="2" customFormat="false" ht="15" hidden="false" customHeight="false" outlineLevel="0" collapsed="false">
      <c r="A2" s="12" t="s">
        <v>34</v>
      </c>
    </row>
    <row r="3" customFormat="false" ht="29.85" hidden="false" customHeight="false" outlineLevel="0" collapsed="false">
      <c r="A3" s="13" t="s">
        <v>35</v>
      </c>
      <c r="B3" s="14" t="s">
        <v>36</v>
      </c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41</v>
      </c>
      <c r="H3" s="13" t="s">
        <v>42</v>
      </c>
      <c r="I3" s="14" t="s">
        <v>43</v>
      </c>
    </row>
    <row r="4" customFormat="false" ht="15" hidden="false" customHeight="false" outlineLevel="0" collapsed="false">
      <c r="A4" s="15" t="s">
        <v>44</v>
      </c>
      <c r="B4" s="16" t="s">
        <v>45</v>
      </c>
      <c r="C4" s="15" t="s">
        <v>46</v>
      </c>
      <c r="D4" s="16" t="s">
        <v>47</v>
      </c>
      <c r="E4" s="16" t="s">
        <v>48</v>
      </c>
      <c r="F4" s="16" t="s">
        <v>49</v>
      </c>
      <c r="G4" s="16" t="s">
        <v>50</v>
      </c>
      <c r="H4" s="16" t="s">
        <v>51</v>
      </c>
      <c r="I4" s="17" t="s">
        <v>52</v>
      </c>
    </row>
    <row r="5" customFormat="false" ht="15" hidden="false" customHeight="false" outlineLevel="0" collapsed="false">
      <c r="A5" s="18" t="s">
        <v>53</v>
      </c>
      <c r="B5" s="19" t="s">
        <v>45</v>
      </c>
      <c r="C5" s="18" t="s">
        <v>54</v>
      </c>
      <c r="D5" s="19" t="s">
        <v>55</v>
      </c>
      <c r="E5" s="19" t="s">
        <v>48</v>
      </c>
      <c r="F5" s="19" t="s">
        <v>49</v>
      </c>
      <c r="G5" s="19" t="s">
        <v>50</v>
      </c>
      <c r="H5" s="19" t="s">
        <v>51</v>
      </c>
      <c r="I5" s="17" t="s">
        <v>52</v>
      </c>
    </row>
    <row r="6" customFormat="false" ht="15" hidden="false" customHeight="false" outlineLevel="0" collapsed="false">
      <c r="A6" s="15" t="s">
        <v>56</v>
      </c>
      <c r="B6" s="16" t="s">
        <v>45</v>
      </c>
      <c r="C6" s="15" t="s">
        <v>57</v>
      </c>
      <c r="D6" s="16" t="s">
        <v>55</v>
      </c>
      <c r="E6" s="16" t="s">
        <v>48</v>
      </c>
      <c r="F6" s="16" t="s">
        <v>49</v>
      </c>
      <c r="G6" s="16" t="s">
        <v>50</v>
      </c>
      <c r="H6" s="16" t="s">
        <v>51</v>
      </c>
      <c r="I6" s="17" t="s">
        <v>52</v>
      </c>
    </row>
    <row r="7" customFormat="false" ht="15" hidden="false" customHeight="false" outlineLevel="0" collapsed="false">
      <c r="A7" s="18" t="s">
        <v>58</v>
      </c>
      <c r="B7" s="19" t="s">
        <v>45</v>
      </c>
      <c r="C7" s="18" t="s">
        <v>59</v>
      </c>
      <c r="D7" s="19" t="s">
        <v>60</v>
      </c>
      <c r="E7" s="19" t="s">
        <v>48</v>
      </c>
      <c r="F7" s="19" t="s">
        <v>49</v>
      </c>
      <c r="G7" s="19" t="s">
        <v>50</v>
      </c>
      <c r="H7" s="19" t="s">
        <v>51</v>
      </c>
      <c r="I7" s="17" t="s">
        <v>52</v>
      </c>
    </row>
    <row r="8" customFormat="false" ht="15" hidden="false" customHeight="false" outlineLevel="0" collapsed="false">
      <c r="A8" s="15" t="s">
        <v>61</v>
      </c>
      <c r="B8" s="16" t="s">
        <v>45</v>
      </c>
      <c r="C8" s="15" t="s">
        <v>62</v>
      </c>
      <c r="D8" s="16" t="s">
        <v>60</v>
      </c>
      <c r="E8" s="16" t="s">
        <v>48</v>
      </c>
      <c r="F8" s="16" t="s">
        <v>49</v>
      </c>
      <c r="G8" s="16" t="s">
        <v>50</v>
      </c>
      <c r="H8" s="16" t="s">
        <v>51</v>
      </c>
      <c r="I8" s="17" t="s">
        <v>52</v>
      </c>
    </row>
    <row r="9" customFormat="false" ht="15" hidden="false" customHeight="false" outlineLevel="0" collapsed="false">
      <c r="A9" s="18" t="s">
        <v>63</v>
      </c>
      <c r="B9" s="19" t="s">
        <v>45</v>
      </c>
      <c r="C9" s="18" t="s">
        <v>64</v>
      </c>
      <c r="D9" s="19" t="s">
        <v>55</v>
      </c>
      <c r="E9" s="19" t="s">
        <v>65</v>
      </c>
      <c r="F9" s="19" t="s">
        <v>66</v>
      </c>
      <c r="G9" s="19" t="s">
        <v>50</v>
      </c>
      <c r="H9" s="18" t="s">
        <v>67</v>
      </c>
      <c r="I9" s="17" t="s">
        <v>52</v>
      </c>
    </row>
    <row r="10" customFormat="false" ht="15" hidden="false" customHeight="false" outlineLevel="0" collapsed="false">
      <c r="A10" s="15" t="s">
        <v>68</v>
      </c>
      <c r="B10" s="16" t="s">
        <v>69</v>
      </c>
      <c r="C10" s="15" t="s">
        <v>70</v>
      </c>
      <c r="D10" s="16" t="s">
        <v>71</v>
      </c>
      <c r="E10" s="16" t="s">
        <v>48</v>
      </c>
      <c r="F10" s="16" t="s">
        <v>72</v>
      </c>
      <c r="G10" s="16" t="s">
        <v>50</v>
      </c>
      <c r="H10" s="16" t="s">
        <v>51</v>
      </c>
      <c r="I10" s="17" t="s">
        <v>52</v>
      </c>
    </row>
    <row r="11" customFormat="false" ht="15" hidden="false" customHeight="false" outlineLevel="0" collapsed="false">
      <c r="A11" s="18" t="s">
        <v>73</v>
      </c>
      <c r="B11" s="19" t="s">
        <v>69</v>
      </c>
      <c r="C11" s="18" t="s">
        <v>74</v>
      </c>
      <c r="D11" s="19" t="s">
        <v>75</v>
      </c>
      <c r="E11" s="19" t="s">
        <v>48</v>
      </c>
      <c r="F11" s="19" t="s">
        <v>66</v>
      </c>
      <c r="G11" s="19" t="s">
        <v>50</v>
      </c>
      <c r="H11" s="19" t="s">
        <v>51</v>
      </c>
      <c r="I11" s="17" t="s">
        <v>52</v>
      </c>
    </row>
    <row r="12" customFormat="false" ht="15" hidden="false" customHeight="false" outlineLevel="0" collapsed="false">
      <c r="A12" s="15" t="s">
        <v>76</v>
      </c>
      <c r="B12" s="16" t="s">
        <v>69</v>
      </c>
      <c r="C12" s="16" t="s">
        <v>77</v>
      </c>
      <c r="D12" s="16" t="s">
        <v>78</v>
      </c>
      <c r="E12" s="16" t="s">
        <v>65</v>
      </c>
      <c r="F12" s="16" t="s">
        <v>66</v>
      </c>
      <c r="G12" s="16" t="s">
        <v>50</v>
      </c>
      <c r="H12" s="15" t="s">
        <v>67</v>
      </c>
      <c r="I12" s="17" t="s">
        <v>52</v>
      </c>
    </row>
    <row r="13" customFormat="false" ht="15" hidden="false" customHeight="false" outlineLevel="0" collapsed="false">
      <c r="A13" s="18" t="s">
        <v>79</v>
      </c>
      <c r="B13" s="19" t="s">
        <v>69</v>
      </c>
      <c r="C13" s="18" t="s">
        <v>80</v>
      </c>
      <c r="D13" s="19" t="s">
        <v>81</v>
      </c>
      <c r="E13" s="19" t="s">
        <v>48</v>
      </c>
      <c r="F13" s="19" t="s">
        <v>66</v>
      </c>
      <c r="G13" s="19" t="s">
        <v>50</v>
      </c>
      <c r="H13" s="19" t="s">
        <v>51</v>
      </c>
      <c r="I13" s="17" t="s">
        <v>52</v>
      </c>
    </row>
    <row r="14" customFormat="false" ht="15" hidden="false" customHeight="false" outlineLevel="0" collapsed="false">
      <c r="A14" s="15" t="s">
        <v>82</v>
      </c>
      <c r="B14" s="16" t="s">
        <v>69</v>
      </c>
      <c r="C14" s="15" t="s">
        <v>83</v>
      </c>
      <c r="D14" s="16" t="s">
        <v>84</v>
      </c>
      <c r="E14" s="16" t="s">
        <v>65</v>
      </c>
      <c r="F14" s="16" t="s">
        <v>66</v>
      </c>
      <c r="G14" s="16" t="s">
        <v>50</v>
      </c>
      <c r="H14" s="15" t="s">
        <v>67</v>
      </c>
      <c r="I14" s="17" t="s">
        <v>52</v>
      </c>
    </row>
    <row r="15" customFormat="false" ht="15" hidden="false" customHeight="false" outlineLevel="0" collapsed="false">
      <c r="A15" s="18" t="s">
        <v>85</v>
      </c>
      <c r="B15" s="19" t="s">
        <v>86</v>
      </c>
      <c r="C15" s="18" t="s">
        <v>87</v>
      </c>
      <c r="D15" s="19" t="s">
        <v>88</v>
      </c>
      <c r="E15" s="19" t="s">
        <v>65</v>
      </c>
      <c r="F15" s="19" t="s">
        <v>66</v>
      </c>
      <c r="G15" s="19" t="s">
        <v>50</v>
      </c>
      <c r="H15" s="18" t="s">
        <v>67</v>
      </c>
      <c r="I15" s="17" t="s">
        <v>52</v>
      </c>
    </row>
    <row r="16" customFormat="false" ht="15" hidden="false" customHeight="false" outlineLevel="0" collapsed="false">
      <c r="A16" s="15" t="s">
        <v>89</v>
      </c>
      <c r="B16" s="16" t="s">
        <v>86</v>
      </c>
      <c r="C16" s="15" t="s">
        <v>90</v>
      </c>
      <c r="D16" s="16" t="s">
        <v>91</v>
      </c>
      <c r="E16" s="16" t="s">
        <v>65</v>
      </c>
      <c r="F16" s="16" t="s">
        <v>49</v>
      </c>
      <c r="G16" s="16" t="s">
        <v>50</v>
      </c>
      <c r="H16" s="16" t="s">
        <v>51</v>
      </c>
      <c r="I16" s="17" t="s">
        <v>52</v>
      </c>
    </row>
    <row r="17" customFormat="false" ht="15" hidden="false" customHeight="false" outlineLevel="0" collapsed="false">
      <c r="A17" s="18" t="s">
        <v>92</v>
      </c>
      <c r="B17" s="19" t="s">
        <v>86</v>
      </c>
      <c r="C17" s="18" t="s">
        <v>93</v>
      </c>
      <c r="D17" s="19" t="s">
        <v>91</v>
      </c>
      <c r="E17" s="19" t="s">
        <v>65</v>
      </c>
      <c r="F17" s="19" t="s">
        <v>49</v>
      </c>
      <c r="G17" s="19" t="s">
        <v>50</v>
      </c>
      <c r="H17" s="18" t="s">
        <v>67</v>
      </c>
      <c r="I17" s="17" t="s">
        <v>52</v>
      </c>
    </row>
    <row r="18" customFormat="false" ht="15" hidden="false" customHeight="false" outlineLevel="0" collapsed="false">
      <c r="A18" s="15" t="s">
        <v>94</v>
      </c>
      <c r="B18" s="16" t="s">
        <v>86</v>
      </c>
      <c r="C18" s="15" t="s">
        <v>95</v>
      </c>
      <c r="D18" s="16" t="s">
        <v>96</v>
      </c>
      <c r="E18" s="16" t="s">
        <v>65</v>
      </c>
      <c r="F18" s="16" t="s">
        <v>49</v>
      </c>
      <c r="G18" s="16" t="s">
        <v>50</v>
      </c>
      <c r="H18" s="15" t="s">
        <v>97</v>
      </c>
      <c r="I18" s="17" t="s">
        <v>52</v>
      </c>
    </row>
    <row r="19" customFormat="false" ht="15" hidden="false" customHeight="false" outlineLevel="0" collapsed="false">
      <c r="A19" s="18" t="s">
        <v>98</v>
      </c>
      <c r="B19" s="19" t="s">
        <v>99</v>
      </c>
      <c r="C19" s="18" t="s">
        <v>100</v>
      </c>
      <c r="D19" s="19" t="s">
        <v>101</v>
      </c>
      <c r="E19" s="19" t="s">
        <v>65</v>
      </c>
      <c r="F19" s="19" t="s">
        <v>49</v>
      </c>
      <c r="G19" s="19" t="s">
        <v>50</v>
      </c>
      <c r="H19" s="18" t="s">
        <v>67</v>
      </c>
      <c r="I19" s="17" t="s">
        <v>52</v>
      </c>
    </row>
    <row r="20" customFormat="false" ht="15" hidden="false" customHeight="false" outlineLevel="0" collapsed="false">
      <c r="A20" s="15" t="s">
        <v>102</v>
      </c>
      <c r="B20" s="16" t="s">
        <v>99</v>
      </c>
      <c r="C20" s="15" t="s">
        <v>103</v>
      </c>
      <c r="D20" s="16" t="s">
        <v>104</v>
      </c>
      <c r="E20" s="16" t="s">
        <v>48</v>
      </c>
      <c r="F20" s="16" t="s">
        <v>72</v>
      </c>
      <c r="G20" s="16" t="s">
        <v>50</v>
      </c>
      <c r="H20" s="16" t="s">
        <v>51</v>
      </c>
      <c r="I20" s="17" t="s">
        <v>52</v>
      </c>
    </row>
    <row r="21" customFormat="false" ht="15" hidden="false" customHeight="false" outlineLevel="0" collapsed="false">
      <c r="A21" s="18" t="s">
        <v>105</v>
      </c>
      <c r="B21" s="19" t="s">
        <v>99</v>
      </c>
      <c r="C21" s="18" t="s">
        <v>106</v>
      </c>
      <c r="D21" s="19" t="s">
        <v>107</v>
      </c>
      <c r="E21" s="19" t="s">
        <v>48</v>
      </c>
      <c r="F21" s="19" t="s">
        <v>66</v>
      </c>
      <c r="G21" s="19" t="s">
        <v>50</v>
      </c>
      <c r="H21" s="19" t="s">
        <v>51</v>
      </c>
      <c r="I21" s="17" t="s">
        <v>52</v>
      </c>
    </row>
    <row r="22" customFormat="false" ht="15" hidden="false" customHeight="false" outlineLevel="0" collapsed="false">
      <c r="A22" s="15" t="s">
        <v>108</v>
      </c>
      <c r="B22" s="16" t="s">
        <v>99</v>
      </c>
      <c r="C22" s="15" t="s">
        <v>109</v>
      </c>
      <c r="D22" s="16" t="s">
        <v>110</v>
      </c>
      <c r="E22" s="16" t="s">
        <v>48</v>
      </c>
      <c r="F22" s="16" t="s">
        <v>66</v>
      </c>
      <c r="G22" s="16" t="s">
        <v>50</v>
      </c>
      <c r="H22" s="16" t="s">
        <v>51</v>
      </c>
      <c r="I22" s="17" t="s">
        <v>52</v>
      </c>
    </row>
    <row r="23" customFormat="false" ht="15" hidden="false" customHeight="false" outlineLevel="0" collapsed="false">
      <c r="A23" s="18" t="s">
        <v>111</v>
      </c>
      <c r="B23" s="19" t="s">
        <v>99</v>
      </c>
      <c r="C23" s="18" t="s">
        <v>112</v>
      </c>
      <c r="D23" s="19" t="s">
        <v>55</v>
      </c>
      <c r="E23" s="19" t="s">
        <v>48</v>
      </c>
      <c r="F23" s="19" t="s">
        <v>66</v>
      </c>
      <c r="G23" s="19" t="s">
        <v>50</v>
      </c>
      <c r="H23" s="19" t="s">
        <v>51</v>
      </c>
      <c r="I23" s="17" t="s">
        <v>52</v>
      </c>
    </row>
    <row r="24" customFormat="false" ht="15" hidden="false" customHeight="false" outlineLevel="0" collapsed="false">
      <c r="A24" s="15" t="s">
        <v>113</v>
      </c>
      <c r="B24" s="16" t="s">
        <v>114</v>
      </c>
      <c r="C24" s="15" t="s">
        <v>115</v>
      </c>
      <c r="D24" s="16" t="s">
        <v>116</v>
      </c>
      <c r="E24" s="16" t="s">
        <v>48</v>
      </c>
      <c r="F24" s="16" t="s">
        <v>49</v>
      </c>
      <c r="G24" s="16" t="s">
        <v>50</v>
      </c>
      <c r="H24" s="16" t="s">
        <v>51</v>
      </c>
      <c r="I24" s="17" t="s">
        <v>52</v>
      </c>
    </row>
    <row r="25" customFormat="false" ht="15" hidden="false" customHeight="false" outlineLevel="0" collapsed="false">
      <c r="A25" s="18" t="s">
        <v>117</v>
      </c>
      <c r="B25" s="19" t="s">
        <v>114</v>
      </c>
      <c r="C25" s="18" t="s">
        <v>118</v>
      </c>
      <c r="D25" s="19" t="s">
        <v>116</v>
      </c>
      <c r="E25" s="19" t="s">
        <v>65</v>
      </c>
      <c r="F25" s="19" t="s">
        <v>49</v>
      </c>
      <c r="G25" s="19" t="s">
        <v>119</v>
      </c>
      <c r="H25" s="18" t="s">
        <v>67</v>
      </c>
      <c r="I25" s="17" t="s">
        <v>52</v>
      </c>
    </row>
    <row r="26" customFormat="false" ht="15" hidden="false" customHeight="false" outlineLevel="0" collapsed="false">
      <c r="A26" s="15" t="s">
        <v>120</v>
      </c>
      <c r="B26" s="16" t="s">
        <v>114</v>
      </c>
      <c r="C26" s="15" t="s">
        <v>121</v>
      </c>
      <c r="D26" s="16" t="s">
        <v>55</v>
      </c>
      <c r="E26" s="16" t="s">
        <v>48</v>
      </c>
      <c r="F26" s="16" t="s">
        <v>72</v>
      </c>
      <c r="G26" s="16" t="s">
        <v>50</v>
      </c>
      <c r="H26" s="16" t="s">
        <v>51</v>
      </c>
      <c r="I26" s="17" t="s">
        <v>52</v>
      </c>
    </row>
    <row r="27" customFormat="false" ht="15" hidden="false" customHeight="false" outlineLevel="0" collapsed="false">
      <c r="A27" s="18" t="s">
        <v>122</v>
      </c>
      <c r="B27" s="19" t="s">
        <v>114</v>
      </c>
      <c r="C27" s="18" t="s">
        <v>123</v>
      </c>
      <c r="D27" s="19" t="s">
        <v>55</v>
      </c>
      <c r="E27" s="19" t="s">
        <v>48</v>
      </c>
      <c r="F27" s="19" t="s">
        <v>66</v>
      </c>
      <c r="G27" s="19" t="s">
        <v>50</v>
      </c>
      <c r="H27" s="18" t="s">
        <v>67</v>
      </c>
      <c r="I27" s="17" t="s">
        <v>52</v>
      </c>
    </row>
    <row r="28" customFormat="false" ht="15" hidden="false" customHeight="false" outlineLevel="0" collapsed="false">
      <c r="A28" s="15" t="s">
        <v>124</v>
      </c>
      <c r="B28" s="16" t="s">
        <v>114</v>
      </c>
      <c r="C28" s="15" t="s">
        <v>125</v>
      </c>
      <c r="D28" s="16" t="s">
        <v>126</v>
      </c>
      <c r="E28" s="16" t="s">
        <v>65</v>
      </c>
      <c r="F28" s="16" t="s">
        <v>66</v>
      </c>
      <c r="G28" s="16" t="s">
        <v>127</v>
      </c>
      <c r="H28" s="15" t="s">
        <v>67</v>
      </c>
      <c r="I28" s="17" t="s">
        <v>52</v>
      </c>
    </row>
    <row r="29" customFormat="false" ht="15" hidden="false" customHeight="false" outlineLevel="0" collapsed="false">
      <c r="A29" s="18" t="s">
        <v>128</v>
      </c>
      <c r="B29" s="19" t="s">
        <v>129</v>
      </c>
      <c r="C29" s="18" t="s">
        <v>130</v>
      </c>
      <c r="D29" s="19" t="s">
        <v>131</v>
      </c>
      <c r="E29" s="19" t="s">
        <v>65</v>
      </c>
      <c r="F29" s="19" t="s">
        <v>49</v>
      </c>
      <c r="G29" s="19" t="s">
        <v>50</v>
      </c>
      <c r="H29" s="18" t="s">
        <v>67</v>
      </c>
      <c r="I29" s="17" t="s">
        <v>52</v>
      </c>
    </row>
    <row r="30" customFormat="false" ht="15" hidden="false" customHeight="false" outlineLevel="0" collapsed="false">
      <c r="A30" s="15" t="s">
        <v>132</v>
      </c>
      <c r="B30" s="16" t="s">
        <v>129</v>
      </c>
      <c r="C30" s="15" t="s">
        <v>133</v>
      </c>
      <c r="D30" s="16" t="s">
        <v>81</v>
      </c>
      <c r="E30" s="16" t="s">
        <v>48</v>
      </c>
      <c r="F30" s="16" t="s">
        <v>66</v>
      </c>
      <c r="G30" s="16" t="s">
        <v>50</v>
      </c>
      <c r="H30" s="15" t="s">
        <v>67</v>
      </c>
      <c r="I30" s="17" t="s">
        <v>52</v>
      </c>
    </row>
    <row r="31" customFormat="false" ht="15" hidden="false" customHeight="false" outlineLevel="0" collapsed="false">
      <c r="A31" s="18" t="s">
        <v>134</v>
      </c>
      <c r="B31" s="19" t="s">
        <v>129</v>
      </c>
      <c r="C31" s="18" t="s">
        <v>135</v>
      </c>
      <c r="D31" s="19" t="s">
        <v>136</v>
      </c>
      <c r="E31" s="19" t="s">
        <v>65</v>
      </c>
      <c r="F31" s="19" t="s">
        <v>66</v>
      </c>
      <c r="G31" s="19" t="s">
        <v>50</v>
      </c>
      <c r="H31" s="18" t="s">
        <v>67</v>
      </c>
      <c r="I31" s="17" t="s">
        <v>52</v>
      </c>
    </row>
    <row r="32" customFormat="false" ht="15" hidden="false" customHeight="false" outlineLevel="0" collapsed="false">
      <c r="A32" s="15" t="s">
        <v>137</v>
      </c>
      <c r="B32" s="16" t="s">
        <v>129</v>
      </c>
      <c r="C32" s="15" t="s">
        <v>138</v>
      </c>
      <c r="D32" s="16" t="s">
        <v>139</v>
      </c>
      <c r="E32" s="16" t="s">
        <v>65</v>
      </c>
      <c r="F32" s="16" t="s">
        <v>66</v>
      </c>
      <c r="G32" s="16" t="s">
        <v>50</v>
      </c>
      <c r="H32" s="15" t="s">
        <v>67</v>
      </c>
      <c r="I32" s="17" t="s">
        <v>52</v>
      </c>
    </row>
    <row r="33" customFormat="false" ht="15" hidden="false" customHeight="false" outlineLevel="0" collapsed="false">
      <c r="A33" s="18" t="s">
        <v>140</v>
      </c>
      <c r="B33" s="19" t="s">
        <v>129</v>
      </c>
      <c r="C33" s="18" t="s">
        <v>141</v>
      </c>
      <c r="D33" s="19" t="s">
        <v>84</v>
      </c>
      <c r="E33" s="19" t="s">
        <v>65</v>
      </c>
      <c r="F33" s="19" t="s">
        <v>66</v>
      </c>
      <c r="G33" s="19" t="s">
        <v>50</v>
      </c>
      <c r="H33" s="18" t="s">
        <v>67</v>
      </c>
      <c r="I33" s="17" t="s">
        <v>52</v>
      </c>
    </row>
  </sheetData>
  <dataValidations count="1">
    <dataValidation allowBlank="false" errorStyle="stop" operator="between" showDropDown="false" showErrorMessage="false" showInputMessage="false" sqref="I4:I33" type="list">
      <formula1>"미확인,확인 중,확인됨,문항 수정 필요"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21.6" hidden="false" customHeight="false" outlineLevel="0" collapsed="false">
      <c r="A1" s="11" t="s">
        <v>142</v>
      </c>
    </row>
    <row r="2" customFormat="false" ht="15" hidden="false" customHeight="false" outlineLevel="0" collapsed="false">
      <c r="A2" s="2" t="s">
        <v>143</v>
      </c>
    </row>
    <row r="3" customFormat="false" ht="29.85" hidden="false" customHeight="false" outlineLevel="0" collapsed="false">
      <c r="A3" s="13" t="s">
        <v>35</v>
      </c>
      <c r="B3" s="14" t="s">
        <v>21</v>
      </c>
      <c r="C3" s="14" t="s">
        <v>37</v>
      </c>
      <c r="D3" s="14" t="s">
        <v>40</v>
      </c>
      <c r="E3" s="14" t="s">
        <v>41</v>
      </c>
    </row>
    <row r="4" customFormat="false" ht="15" hidden="false" customHeight="false" outlineLevel="0" collapsed="false">
      <c r="A4" s="15" t="s">
        <v>144</v>
      </c>
      <c r="B4" s="16" t="s">
        <v>24</v>
      </c>
      <c r="C4" s="15" t="s">
        <v>145</v>
      </c>
      <c r="D4" s="16" t="s">
        <v>66</v>
      </c>
      <c r="E4" s="16" t="s">
        <v>50</v>
      </c>
    </row>
    <row r="5" customFormat="false" ht="15" hidden="false" customHeight="false" outlineLevel="0" collapsed="false">
      <c r="A5" s="18" t="s">
        <v>146</v>
      </c>
      <c r="B5" s="19" t="s">
        <v>24</v>
      </c>
      <c r="C5" s="18" t="s">
        <v>147</v>
      </c>
      <c r="D5" s="19" t="s">
        <v>66</v>
      </c>
      <c r="E5" s="19" t="s">
        <v>50</v>
      </c>
    </row>
    <row r="6" customFormat="false" ht="15" hidden="false" customHeight="false" outlineLevel="0" collapsed="false">
      <c r="A6" s="15" t="s">
        <v>148</v>
      </c>
      <c r="B6" s="16" t="s">
        <v>24</v>
      </c>
      <c r="C6" s="15" t="s">
        <v>149</v>
      </c>
      <c r="D6" s="16" t="s">
        <v>66</v>
      </c>
      <c r="E6" s="16" t="s">
        <v>50</v>
      </c>
    </row>
    <row r="7" customFormat="false" ht="15" hidden="false" customHeight="false" outlineLevel="0" collapsed="false">
      <c r="A7" s="18" t="s">
        <v>150</v>
      </c>
      <c r="B7" s="19" t="s">
        <v>24</v>
      </c>
      <c r="C7" s="18" t="s">
        <v>151</v>
      </c>
      <c r="D7" s="19" t="s">
        <v>66</v>
      </c>
      <c r="E7" s="19" t="s">
        <v>50</v>
      </c>
    </row>
    <row r="8" customFormat="false" ht="15" hidden="false" customHeight="false" outlineLevel="0" collapsed="false">
      <c r="A8" s="15" t="s">
        <v>152</v>
      </c>
      <c r="B8" s="16" t="s">
        <v>24</v>
      </c>
      <c r="C8" s="15" t="s">
        <v>153</v>
      </c>
      <c r="D8" s="16" t="s">
        <v>66</v>
      </c>
      <c r="E8" s="16" t="s">
        <v>50</v>
      </c>
    </row>
    <row r="9" customFormat="false" ht="15" hidden="false" customHeight="false" outlineLevel="0" collapsed="false">
      <c r="A9" s="18" t="s">
        <v>154</v>
      </c>
      <c r="B9" s="19" t="s">
        <v>24</v>
      </c>
      <c r="C9" s="18" t="s">
        <v>155</v>
      </c>
      <c r="D9" s="19" t="s">
        <v>66</v>
      </c>
      <c r="E9" s="19" t="s">
        <v>50</v>
      </c>
    </row>
    <row r="10" customFormat="false" ht="15" hidden="false" customHeight="false" outlineLevel="0" collapsed="false">
      <c r="A10" s="15" t="s">
        <v>156</v>
      </c>
      <c r="B10" s="16" t="s">
        <v>24</v>
      </c>
      <c r="C10" s="15" t="s">
        <v>157</v>
      </c>
      <c r="D10" s="16" t="s">
        <v>66</v>
      </c>
      <c r="E10" s="16" t="s">
        <v>50</v>
      </c>
    </row>
    <row r="11" customFormat="false" ht="15" hidden="false" customHeight="false" outlineLevel="0" collapsed="false">
      <c r="A11" s="18" t="s">
        <v>158</v>
      </c>
      <c r="B11" s="19" t="s">
        <v>24</v>
      </c>
      <c r="C11" s="18" t="s">
        <v>159</v>
      </c>
      <c r="D11" s="19" t="s">
        <v>49</v>
      </c>
      <c r="E11" s="19" t="s">
        <v>50</v>
      </c>
    </row>
    <row r="12" customFormat="false" ht="15" hidden="false" customHeight="false" outlineLevel="0" collapsed="false">
      <c r="A12" s="15" t="s">
        <v>160</v>
      </c>
      <c r="B12" s="16" t="s">
        <v>24</v>
      </c>
      <c r="C12" s="15" t="s">
        <v>161</v>
      </c>
      <c r="D12" s="16" t="s">
        <v>66</v>
      </c>
      <c r="E12" s="16" t="s">
        <v>50</v>
      </c>
    </row>
    <row r="13" customFormat="false" ht="15" hidden="false" customHeight="false" outlineLevel="0" collapsed="false">
      <c r="A13" s="18" t="s">
        <v>162</v>
      </c>
      <c r="B13" s="19" t="s">
        <v>24</v>
      </c>
      <c r="C13" s="18" t="s">
        <v>163</v>
      </c>
      <c r="D13" s="19" t="s">
        <v>66</v>
      </c>
      <c r="E13" s="19" t="s">
        <v>50</v>
      </c>
    </row>
    <row r="14" customFormat="false" ht="15" hidden="false" customHeight="false" outlineLevel="0" collapsed="false">
      <c r="A14" s="15" t="s">
        <v>164</v>
      </c>
      <c r="B14" s="16" t="s">
        <v>24</v>
      </c>
      <c r="C14" s="15" t="s">
        <v>165</v>
      </c>
      <c r="D14" s="16" t="s">
        <v>66</v>
      </c>
      <c r="E14" s="16" t="s">
        <v>50</v>
      </c>
    </row>
    <row r="15" customFormat="false" ht="15" hidden="false" customHeight="false" outlineLevel="0" collapsed="false">
      <c r="A15" s="18" t="s">
        <v>166</v>
      </c>
      <c r="B15" s="19" t="s">
        <v>24</v>
      </c>
      <c r="C15" s="18" t="s">
        <v>167</v>
      </c>
      <c r="D15" s="19" t="s">
        <v>66</v>
      </c>
      <c r="E15" s="19" t="s">
        <v>50</v>
      </c>
    </row>
    <row r="16" customFormat="false" ht="15" hidden="false" customHeight="false" outlineLevel="0" collapsed="false">
      <c r="A16" s="15" t="s">
        <v>168</v>
      </c>
      <c r="B16" s="16" t="s">
        <v>24</v>
      </c>
      <c r="C16" s="15" t="s">
        <v>169</v>
      </c>
      <c r="D16" s="16" t="s">
        <v>66</v>
      </c>
      <c r="E16" s="16" t="s">
        <v>50</v>
      </c>
    </row>
    <row r="17" customFormat="false" ht="15" hidden="false" customHeight="false" outlineLevel="0" collapsed="false">
      <c r="A17" s="18" t="s">
        <v>170</v>
      </c>
      <c r="B17" s="19" t="s">
        <v>24</v>
      </c>
      <c r="C17" s="18" t="s">
        <v>171</v>
      </c>
      <c r="D17" s="19" t="s">
        <v>66</v>
      </c>
      <c r="E17" s="19" t="s">
        <v>119</v>
      </c>
    </row>
    <row r="18" customFormat="false" ht="15" hidden="false" customHeight="false" outlineLevel="0" collapsed="false">
      <c r="A18" s="15" t="s">
        <v>172</v>
      </c>
      <c r="B18" s="16" t="s">
        <v>24</v>
      </c>
      <c r="C18" s="15" t="s">
        <v>173</v>
      </c>
      <c r="D18" s="16" t="s">
        <v>49</v>
      </c>
      <c r="E18" s="16" t="s">
        <v>50</v>
      </c>
    </row>
    <row r="19" customFormat="false" ht="15" hidden="false" customHeight="false" outlineLevel="0" collapsed="false">
      <c r="A19" s="18" t="s">
        <v>174</v>
      </c>
      <c r="B19" s="19" t="s">
        <v>24</v>
      </c>
      <c r="C19" s="18" t="s">
        <v>175</v>
      </c>
      <c r="D19" s="19" t="s">
        <v>66</v>
      </c>
      <c r="E19" s="19" t="s">
        <v>50</v>
      </c>
    </row>
    <row r="20" customFormat="false" ht="15" hidden="false" customHeight="false" outlineLevel="0" collapsed="false">
      <c r="A20" s="15" t="s">
        <v>176</v>
      </c>
      <c r="B20" s="16" t="s">
        <v>24</v>
      </c>
      <c r="C20" s="15" t="s">
        <v>177</v>
      </c>
      <c r="D20" s="16" t="s">
        <v>66</v>
      </c>
      <c r="E20" s="16" t="s">
        <v>50</v>
      </c>
    </row>
    <row r="21" customFormat="false" ht="15" hidden="false" customHeight="false" outlineLevel="0" collapsed="false">
      <c r="A21" s="18" t="s">
        <v>178</v>
      </c>
      <c r="B21" s="19" t="s">
        <v>24</v>
      </c>
      <c r="C21" s="18" t="s">
        <v>179</v>
      </c>
      <c r="D21" s="19" t="s">
        <v>49</v>
      </c>
      <c r="E21" s="19" t="s">
        <v>50</v>
      </c>
    </row>
    <row r="22" customFormat="false" ht="15" hidden="false" customHeight="false" outlineLevel="0" collapsed="false">
      <c r="A22" s="15" t="s">
        <v>180</v>
      </c>
      <c r="B22" s="16" t="s">
        <v>24</v>
      </c>
      <c r="C22" s="15" t="s">
        <v>181</v>
      </c>
      <c r="D22" s="16" t="s">
        <v>66</v>
      </c>
      <c r="E22" s="16" t="s">
        <v>50</v>
      </c>
    </row>
    <row r="23" customFormat="false" ht="15" hidden="false" customHeight="false" outlineLevel="0" collapsed="false">
      <c r="A23" s="18" t="s">
        <v>182</v>
      </c>
      <c r="B23" s="19" t="s">
        <v>24</v>
      </c>
      <c r="C23" s="18" t="s">
        <v>183</v>
      </c>
      <c r="D23" s="19" t="s">
        <v>66</v>
      </c>
      <c r="E23" s="19" t="s">
        <v>50</v>
      </c>
    </row>
    <row r="24" customFormat="false" ht="15" hidden="false" customHeight="false" outlineLevel="0" collapsed="false">
      <c r="A24" s="15" t="s">
        <v>184</v>
      </c>
      <c r="B24" s="16" t="s">
        <v>25</v>
      </c>
      <c r="C24" s="15" t="s">
        <v>185</v>
      </c>
      <c r="D24" s="16" t="s">
        <v>66</v>
      </c>
      <c r="E24" s="16" t="s">
        <v>50</v>
      </c>
    </row>
    <row r="25" customFormat="false" ht="15" hidden="false" customHeight="false" outlineLevel="0" collapsed="false">
      <c r="A25" s="18" t="s">
        <v>186</v>
      </c>
      <c r="B25" s="19" t="s">
        <v>25</v>
      </c>
      <c r="C25" s="18" t="s">
        <v>187</v>
      </c>
      <c r="D25" s="19" t="s">
        <v>66</v>
      </c>
      <c r="E25" s="19" t="s">
        <v>50</v>
      </c>
    </row>
    <row r="26" customFormat="false" ht="15" hidden="false" customHeight="false" outlineLevel="0" collapsed="false">
      <c r="A26" s="15" t="s">
        <v>188</v>
      </c>
      <c r="B26" s="16" t="s">
        <v>25</v>
      </c>
      <c r="C26" s="15" t="s">
        <v>189</v>
      </c>
      <c r="D26" s="16" t="s">
        <v>66</v>
      </c>
      <c r="E26" s="16" t="s">
        <v>50</v>
      </c>
    </row>
    <row r="27" customFormat="false" ht="15" hidden="false" customHeight="false" outlineLevel="0" collapsed="false">
      <c r="A27" s="18" t="s">
        <v>190</v>
      </c>
      <c r="B27" s="19" t="s">
        <v>25</v>
      </c>
      <c r="C27" s="18" t="s">
        <v>191</v>
      </c>
      <c r="D27" s="19" t="s">
        <v>49</v>
      </c>
      <c r="E27" s="19" t="s">
        <v>50</v>
      </c>
    </row>
    <row r="28" customFormat="false" ht="15" hidden="false" customHeight="false" outlineLevel="0" collapsed="false">
      <c r="A28" s="15" t="s">
        <v>192</v>
      </c>
      <c r="B28" s="16" t="s">
        <v>25</v>
      </c>
      <c r="C28" s="15" t="s">
        <v>193</v>
      </c>
      <c r="D28" s="16" t="s">
        <v>66</v>
      </c>
      <c r="E28" s="16" t="s">
        <v>50</v>
      </c>
    </row>
    <row r="29" customFormat="false" ht="15" hidden="false" customHeight="false" outlineLevel="0" collapsed="false">
      <c r="A29" s="18" t="s">
        <v>194</v>
      </c>
      <c r="B29" s="19" t="s">
        <v>25</v>
      </c>
      <c r="C29" s="18" t="s">
        <v>195</v>
      </c>
      <c r="D29" s="19" t="s">
        <v>66</v>
      </c>
      <c r="E29" s="19" t="s">
        <v>50</v>
      </c>
    </row>
    <row r="30" customFormat="false" ht="15" hidden="false" customHeight="false" outlineLevel="0" collapsed="false">
      <c r="A30" s="15" t="s">
        <v>196</v>
      </c>
      <c r="B30" s="16" t="s">
        <v>25</v>
      </c>
      <c r="C30" s="15" t="s">
        <v>197</v>
      </c>
      <c r="D30" s="16" t="s">
        <v>49</v>
      </c>
      <c r="E30" s="16" t="s">
        <v>50</v>
      </c>
    </row>
    <row r="31" customFormat="false" ht="15" hidden="false" customHeight="false" outlineLevel="0" collapsed="false">
      <c r="A31" s="18" t="s">
        <v>198</v>
      </c>
      <c r="B31" s="19" t="s">
        <v>25</v>
      </c>
      <c r="C31" s="18" t="s">
        <v>199</v>
      </c>
      <c r="D31" s="19" t="s">
        <v>66</v>
      </c>
      <c r="E31" s="19" t="s">
        <v>50</v>
      </c>
    </row>
    <row r="32" customFormat="false" ht="15" hidden="false" customHeight="false" outlineLevel="0" collapsed="false">
      <c r="A32" s="15" t="s">
        <v>200</v>
      </c>
      <c r="B32" s="16" t="s">
        <v>25</v>
      </c>
      <c r="C32" s="15" t="s">
        <v>201</v>
      </c>
      <c r="D32" s="16" t="s">
        <v>66</v>
      </c>
      <c r="E32" s="16" t="s">
        <v>50</v>
      </c>
    </row>
    <row r="33" customFormat="false" ht="15" hidden="false" customHeight="false" outlineLevel="0" collapsed="false">
      <c r="A33" s="18" t="s">
        <v>202</v>
      </c>
      <c r="B33" s="19" t="s">
        <v>25</v>
      </c>
      <c r="C33" s="18" t="s">
        <v>203</v>
      </c>
      <c r="D33" s="19" t="s">
        <v>66</v>
      </c>
      <c r="E33" s="19" t="s">
        <v>50</v>
      </c>
    </row>
    <row r="34" customFormat="false" ht="15" hidden="false" customHeight="false" outlineLevel="0" collapsed="false">
      <c r="A34" s="15" t="s">
        <v>204</v>
      </c>
      <c r="B34" s="16" t="s">
        <v>25</v>
      </c>
      <c r="C34" s="15" t="s">
        <v>205</v>
      </c>
      <c r="D34" s="16" t="s">
        <v>66</v>
      </c>
      <c r="E34" s="16" t="s">
        <v>50</v>
      </c>
    </row>
    <row r="35" customFormat="false" ht="15" hidden="false" customHeight="false" outlineLevel="0" collapsed="false">
      <c r="A35" s="18" t="s">
        <v>206</v>
      </c>
      <c r="B35" s="19" t="s">
        <v>25</v>
      </c>
      <c r="C35" s="18" t="s">
        <v>207</v>
      </c>
      <c r="D35" s="19" t="s">
        <v>66</v>
      </c>
      <c r="E35" s="19" t="s">
        <v>50</v>
      </c>
    </row>
    <row r="36" customFormat="false" ht="15" hidden="false" customHeight="false" outlineLevel="0" collapsed="false">
      <c r="A36" s="15" t="s">
        <v>208</v>
      </c>
      <c r="B36" s="16" t="s">
        <v>25</v>
      </c>
      <c r="C36" s="15" t="s">
        <v>209</v>
      </c>
      <c r="D36" s="16" t="s">
        <v>49</v>
      </c>
      <c r="E36" s="16" t="s">
        <v>50</v>
      </c>
    </row>
    <row r="37" customFormat="false" ht="15" hidden="false" customHeight="false" outlineLevel="0" collapsed="false">
      <c r="A37" s="18" t="s">
        <v>210</v>
      </c>
      <c r="B37" s="19" t="s">
        <v>25</v>
      </c>
      <c r="C37" s="18" t="s">
        <v>211</v>
      </c>
      <c r="D37" s="19" t="s">
        <v>66</v>
      </c>
      <c r="E37" s="19" t="s">
        <v>50</v>
      </c>
    </row>
    <row r="38" customFormat="false" ht="15" hidden="false" customHeight="false" outlineLevel="0" collapsed="false">
      <c r="A38" s="15" t="s">
        <v>212</v>
      </c>
      <c r="B38" s="16" t="s">
        <v>25</v>
      </c>
      <c r="C38" s="15" t="s">
        <v>213</v>
      </c>
      <c r="D38" s="16" t="s">
        <v>66</v>
      </c>
      <c r="E38" s="16" t="s">
        <v>50</v>
      </c>
    </row>
    <row r="39" customFormat="false" ht="15" hidden="false" customHeight="false" outlineLevel="0" collapsed="false">
      <c r="A39" s="18" t="s">
        <v>214</v>
      </c>
      <c r="B39" s="19" t="s">
        <v>25</v>
      </c>
      <c r="C39" s="18" t="s">
        <v>215</v>
      </c>
      <c r="D39" s="19" t="s">
        <v>66</v>
      </c>
      <c r="E39" s="19" t="s">
        <v>50</v>
      </c>
    </row>
    <row r="40" customFormat="false" ht="15" hidden="false" customHeight="false" outlineLevel="0" collapsed="false">
      <c r="A40" s="15" t="s">
        <v>216</v>
      </c>
      <c r="B40" s="16" t="s">
        <v>25</v>
      </c>
      <c r="C40" s="15" t="s">
        <v>217</v>
      </c>
      <c r="D40" s="16" t="s">
        <v>66</v>
      </c>
      <c r="E40" s="16" t="s">
        <v>50</v>
      </c>
    </row>
    <row r="41" customFormat="false" ht="15" hidden="false" customHeight="false" outlineLevel="0" collapsed="false">
      <c r="A41" s="18" t="s">
        <v>218</v>
      </c>
      <c r="B41" s="19" t="s">
        <v>25</v>
      </c>
      <c r="C41" s="18" t="s">
        <v>219</v>
      </c>
      <c r="D41" s="19" t="s">
        <v>66</v>
      </c>
      <c r="E41" s="19" t="s">
        <v>50</v>
      </c>
    </row>
    <row r="42" customFormat="false" ht="15" hidden="false" customHeight="false" outlineLevel="0" collapsed="false">
      <c r="A42" s="15" t="s">
        <v>220</v>
      </c>
      <c r="B42" s="16" t="s">
        <v>25</v>
      </c>
      <c r="C42" s="15" t="s">
        <v>221</v>
      </c>
      <c r="D42" s="16" t="s">
        <v>49</v>
      </c>
      <c r="E42" s="16" t="s">
        <v>50</v>
      </c>
    </row>
    <row r="43" customFormat="false" ht="15" hidden="false" customHeight="false" outlineLevel="0" collapsed="false">
      <c r="A43" s="18" t="s">
        <v>222</v>
      </c>
      <c r="B43" s="19" t="s">
        <v>25</v>
      </c>
      <c r="C43" s="18" t="s">
        <v>223</v>
      </c>
      <c r="D43" s="19" t="s">
        <v>66</v>
      </c>
      <c r="E43" s="19" t="s">
        <v>50</v>
      </c>
    </row>
    <row r="44" customFormat="false" ht="15" hidden="false" customHeight="false" outlineLevel="0" collapsed="false">
      <c r="A44" s="15" t="s">
        <v>224</v>
      </c>
      <c r="B44" s="16" t="s">
        <v>26</v>
      </c>
      <c r="C44" s="15" t="s">
        <v>225</v>
      </c>
      <c r="D44" s="16" t="s">
        <v>66</v>
      </c>
      <c r="E44" s="16" t="s">
        <v>50</v>
      </c>
    </row>
    <row r="45" customFormat="false" ht="15" hidden="false" customHeight="false" outlineLevel="0" collapsed="false">
      <c r="A45" s="18" t="s">
        <v>226</v>
      </c>
      <c r="B45" s="19" t="s">
        <v>26</v>
      </c>
      <c r="C45" s="18" t="s">
        <v>227</v>
      </c>
      <c r="D45" s="19" t="s">
        <v>66</v>
      </c>
      <c r="E45" s="19" t="s">
        <v>50</v>
      </c>
    </row>
    <row r="46" customFormat="false" ht="15" hidden="false" customHeight="false" outlineLevel="0" collapsed="false">
      <c r="A46" s="15" t="s">
        <v>228</v>
      </c>
      <c r="B46" s="16" t="s">
        <v>26</v>
      </c>
      <c r="C46" s="15" t="s">
        <v>229</v>
      </c>
      <c r="D46" s="16" t="s">
        <v>66</v>
      </c>
      <c r="E46" s="16" t="s">
        <v>50</v>
      </c>
    </row>
    <row r="47" customFormat="false" ht="15" hidden="false" customHeight="false" outlineLevel="0" collapsed="false">
      <c r="A47" s="18" t="s">
        <v>230</v>
      </c>
      <c r="B47" s="19" t="s">
        <v>26</v>
      </c>
      <c r="C47" s="18" t="s">
        <v>231</v>
      </c>
      <c r="D47" s="19" t="s">
        <v>66</v>
      </c>
      <c r="E47" s="19" t="s">
        <v>50</v>
      </c>
    </row>
    <row r="48" customFormat="false" ht="15" hidden="false" customHeight="false" outlineLevel="0" collapsed="false">
      <c r="A48" s="15" t="s">
        <v>232</v>
      </c>
      <c r="B48" s="16" t="s">
        <v>26</v>
      </c>
      <c r="C48" s="15" t="s">
        <v>233</v>
      </c>
      <c r="D48" s="16" t="s">
        <v>66</v>
      </c>
      <c r="E48" s="16" t="s">
        <v>50</v>
      </c>
    </row>
    <row r="49" customFormat="false" ht="15" hidden="false" customHeight="false" outlineLevel="0" collapsed="false">
      <c r="A49" s="18" t="s">
        <v>234</v>
      </c>
      <c r="B49" s="19" t="s">
        <v>26</v>
      </c>
      <c r="C49" s="18" t="s">
        <v>235</v>
      </c>
      <c r="D49" s="19" t="s">
        <v>49</v>
      </c>
      <c r="E49" s="19" t="s">
        <v>50</v>
      </c>
    </row>
    <row r="50" customFormat="false" ht="15" hidden="false" customHeight="false" outlineLevel="0" collapsed="false">
      <c r="A50" s="15" t="s">
        <v>236</v>
      </c>
      <c r="B50" s="16" t="s">
        <v>26</v>
      </c>
      <c r="C50" s="15" t="s">
        <v>237</v>
      </c>
      <c r="D50" s="16" t="s">
        <v>66</v>
      </c>
      <c r="E50" s="16" t="s">
        <v>50</v>
      </c>
    </row>
    <row r="51" customFormat="false" ht="15" hidden="false" customHeight="false" outlineLevel="0" collapsed="false">
      <c r="A51" s="18" t="s">
        <v>238</v>
      </c>
      <c r="B51" s="19" t="s">
        <v>26</v>
      </c>
      <c r="C51" s="18" t="s">
        <v>239</v>
      </c>
      <c r="D51" s="19" t="s">
        <v>66</v>
      </c>
      <c r="E51" s="19" t="s">
        <v>50</v>
      </c>
    </row>
    <row r="52" customFormat="false" ht="15" hidden="false" customHeight="false" outlineLevel="0" collapsed="false">
      <c r="A52" s="15" t="s">
        <v>240</v>
      </c>
      <c r="B52" s="16" t="s">
        <v>26</v>
      </c>
      <c r="C52" s="15" t="s">
        <v>241</v>
      </c>
      <c r="D52" s="16" t="s">
        <v>66</v>
      </c>
      <c r="E52" s="16" t="s">
        <v>50</v>
      </c>
    </row>
    <row r="53" customFormat="false" ht="15" hidden="false" customHeight="false" outlineLevel="0" collapsed="false">
      <c r="A53" s="18" t="s">
        <v>242</v>
      </c>
      <c r="B53" s="19" t="s">
        <v>26</v>
      </c>
      <c r="C53" s="18" t="s">
        <v>243</v>
      </c>
      <c r="D53" s="19" t="s">
        <v>66</v>
      </c>
      <c r="E53" s="19" t="s">
        <v>50</v>
      </c>
    </row>
    <row r="54" customFormat="false" ht="15" hidden="false" customHeight="false" outlineLevel="0" collapsed="false">
      <c r="A54" s="15" t="s">
        <v>244</v>
      </c>
      <c r="B54" s="16" t="s">
        <v>26</v>
      </c>
      <c r="C54" s="15" t="s">
        <v>245</v>
      </c>
      <c r="D54" s="16" t="s">
        <v>66</v>
      </c>
      <c r="E54" s="16" t="s">
        <v>50</v>
      </c>
    </row>
    <row r="55" customFormat="false" ht="15" hidden="false" customHeight="false" outlineLevel="0" collapsed="false">
      <c r="A55" s="18" t="s">
        <v>246</v>
      </c>
      <c r="B55" s="19" t="s">
        <v>26</v>
      </c>
      <c r="C55" s="18" t="s">
        <v>247</v>
      </c>
      <c r="D55" s="19" t="s">
        <v>66</v>
      </c>
      <c r="E55" s="19" t="s">
        <v>50</v>
      </c>
    </row>
    <row r="56" customFormat="false" ht="15" hidden="false" customHeight="false" outlineLevel="0" collapsed="false">
      <c r="A56" s="15" t="s">
        <v>248</v>
      </c>
      <c r="B56" s="16" t="s">
        <v>26</v>
      </c>
      <c r="C56" s="15" t="s">
        <v>249</v>
      </c>
      <c r="D56" s="16" t="s">
        <v>66</v>
      </c>
      <c r="E56" s="16" t="s">
        <v>50</v>
      </c>
    </row>
    <row r="57" customFormat="false" ht="15" hidden="false" customHeight="false" outlineLevel="0" collapsed="false">
      <c r="A57" s="18" t="s">
        <v>250</v>
      </c>
      <c r="B57" s="19" t="s">
        <v>26</v>
      </c>
      <c r="C57" s="18" t="s">
        <v>251</v>
      </c>
      <c r="D57" s="19" t="s">
        <v>66</v>
      </c>
      <c r="E57" s="19" t="s">
        <v>50</v>
      </c>
    </row>
    <row r="58" customFormat="false" ht="15" hidden="false" customHeight="false" outlineLevel="0" collapsed="false">
      <c r="A58" s="15" t="s">
        <v>252</v>
      </c>
      <c r="B58" s="16" t="s">
        <v>26</v>
      </c>
      <c r="C58" s="15" t="s">
        <v>253</v>
      </c>
      <c r="D58" s="16" t="s">
        <v>66</v>
      </c>
      <c r="E58" s="16" t="s">
        <v>50</v>
      </c>
    </row>
    <row r="59" customFormat="false" ht="15" hidden="false" customHeight="false" outlineLevel="0" collapsed="false">
      <c r="A59" s="18" t="s">
        <v>254</v>
      </c>
      <c r="B59" s="19" t="s">
        <v>26</v>
      </c>
      <c r="C59" s="18" t="s">
        <v>255</v>
      </c>
      <c r="D59" s="19" t="s">
        <v>66</v>
      </c>
      <c r="E59" s="19" t="s">
        <v>50</v>
      </c>
    </row>
    <row r="60" customFormat="false" ht="15" hidden="false" customHeight="false" outlineLevel="0" collapsed="false">
      <c r="A60" s="15" t="s">
        <v>256</v>
      </c>
      <c r="B60" s="16" t="s">
        <v>26</v>
      </c>
      <c r="C60" s="15" t="s">
        <v>257</v>
      </c>
      <c r="D60" s="16" t="s">
        <v>66</v>
      </c>
      <c r="E60" s="16" t="s">
        <v>50</v>
      </c>
    </row>
    <row r="61" customFormat="false" ht="15" hidden="false" customHeight="false" outlineLevel="0" collapsed="false">
      <c r="A61" s="18" t="s">
        <v>258</v>
      </c>
      <c r="B61" s="19" t="s">
        <v>26</v>
      </c>
      <c r="C61" s="18" t="s">
        <v>259</v>
      </c>
      <c r="D61" s="19" t="s">
        <v>66</v>
      </c>
      <c r="E61" s="19" t="s">
        <v>50</v>
      </c>
    </row>
    <row r="62" customFormat="false" ht="15" hidden="false" customHeight="false" outlineLevel="0" collapsed="false">
      <c r="A62" s="15" t="s">
        <v>260</v>
      </c>
      <c r="B62" s="16" t="s">
        <v>26</v>
      </c>
      <c r="C62" s="15" t="s">
        <v>261</v>
      </c>
      <c r="D62" s="16" t="s">
        <v>66</v>
      </c>
      <c r="E62" s="16" t="s">
        <v>50</v>
      </c>
    </row>
    <row r="63" customFormat="false" ht="15" hidden="false" customHeight="false" outlineLevel="0" collapsed="false">
      <c r="A63" s="18" t="s">
        <v>262</v>
      </c>
      <c r="B63" s="19" t="s">
        <v>26</v>
      </c>
      <c r="C63" s="18" t="s">
        <v>263</v>
      </c>
      <c r="D63" s="19" t="s">
        <v>66</v>
      </c>
      <c r="E63" s="19" t="s">
        <v>50</v>
      </c>
    </row>
    <row r="64" customFormat="false" ht="15" hidden="false" customHeight="false" outlineLevel="0" collapsed="false">
      <c r="A64" s="15" t="s">
        <v>264</v>
      </c>
      <c r="B64" s="16" t="s">
        <v>27</v>
      </c>
      <c r="C64" s="15" t="s">
        <v>265</v>
      </c>
      <c r="D64" s="16" t="s">
        <v>66</v>
      </c>
      <c r="E64" s="16" t="s">
        <v>50</v>
      </c>
    </row>
    <row r="65" customFormat="false" ht="15" hidden="false" customHeight="false" outlineLevel="0" collapsed="false">
      <c r="A65" s="18" t="s">
        <v>266</v>
      </c>
      <c r="B65" s="19" t="s">
        <v>27</v>
      </c>
      <c r="C65" s="18" t="s">
        <v>267</v>
      </c>
      <c r="D65" s="19" t="s">
        <v>49</v>
      </c>
      <c r="E65" s="19" t="s">
        <v>50</v>
      </c>
    </row>
    <row r="66" customFormat="false" ht="15" hidden="false" customHeight="false" outlineLevel="0" collapsed="false">
      <c r="A66" s="15" t="s">
        <v>268</v>
      </c>
      <c r="B66" s="16" t="s">
        <v>27</v>
      </c>
      <c r="C66" s="15" t="s">
        <v>269</v>
      </c>
      <c r="D66" s="16" t="s">
        <v>66</v>
      </c>
      <c r="E66" s="16" t="s">
        <v>50</v>
      </c>
    </row>
    <row r="67" customFormat="false" ht="15" hidden="false" customHeight="false" outlineLevel="0" collapsed="false">
      <c r="A67" s="18" t="s">
        <v>270</v>
      </c>
      <c r="B67" s="19" t="s">
        <v>27</v>
      </c>
      <c r="C67" s="18" t="s">
        <v>271</v>
      </c>
      <c r="D67" s="19" t="s">
        <v>66</v>
      </c>
      <c r="E67" s="19" t="s">
        <v>50</v>
      </c>
    </row>
    <row r="68" customFormat="false" ht="15" hidden="false" customHeight="false" outlineLevel="0" collapsed="false">
      <c r="A68" s="15" t="s">
        <v>272</v>
      </c>
      <c r="B68" s="16" t="s">
        <v>27</v>
      </c>
      <c r="C68" s="15" t="s">
        <v>273</v>
      </c>
      <c r="D68" s="16" t="s">
        <v>66</v>
      </c>
      <c r="E68" s="16" t="s">
        <v>50</v>
      </c>
    </row>
    <row r="69" customFormat="false" ht="15" hidden="false" customHeight="false" outlineLevel="0" collapsed="false">
      <c r="A69" s="18" t="s">
        <v>274</v>
      </c>
      <c r="B69" s="19" t="s">
        <v>27</v>
      </c>
      <c r="C69" s="18" t="s">
        <v>275</v>
      </c>
      <c r="D69" s="19" t="s">
        <v>66</v>
      </c>
      <c r="E69" s="19" t="s">
        <v>50</v>
      </c>
    </row>
    <row r="70" customFormat="false" ht="15" hidden="false" customHeight="false" outlineLevel="0" collapsed="false">
      <c r="A70" s="15" t="s">
        <v>276</v>
      </c>
      <c r="B70" s="16" t="s">
        <v>27</v>
      </c>
      <c r="C70" s="15" t="s">
        <v>277</v>
      </c>
      <c r="D70" s="16" t="s">
        <v>49</v>
      </c>
      <c r="E70" s="16" t="s">
        <v>50</v>
      </c>
    </row>
    <row r="71" customFormat="false" ht="15" hidden="false" customHeight="false" outlineLevel="0" collapsed="false">
      <c r="A71" s="18" t="s">
        <v>278</v>
      </c>
      <c r="B71" s="19" t="s">
        <v>27</v>
      </c>
      <c r="C71" s="18" t="s">
        <v>279</v>
      </c>
      <c r="D71" s="19" t="s">
        <v>49</v>
      </c>
      <c r="E71" s="19" t="s">
        <v>50</v>
      </c>
    </row>
    <row r="72" customFormat="false" ht="15" hidden="false" customHeight="false" outlineLevel="0" collapsed="false">
      <c r="A72" s="15" t="s">
        <v>280</v>
      </c>
      <c r="B72" s="16" t="s">
        <v>27</v>
      </c>
      <c r="C72" s="15" t="s">
        <v>281</v>
      </c>
      <c r="D72" s="16" t="s">
        <v>66</v>
      </c>
      <c r="E72" s="16" t="s">
        <v>50</v>
      </c>
    </row>
    <row r="73" customFormat="false" ht="15" hidden="false" customHeight="false" outlineLevel="0" collapsed="false">
      <c r="A73" s="18" t="s">
        <v>282</v>
      </c>
      <c r="B73" s="19" t="s">
        <v>27</v>
      </c>
      <c r="C73" s="18" t="s">
        <v>283</v>
      </c>
      <c r="D73" s="19" t="s">
        <v>66</v>
      </c>
      <c r="E73" s="19" t="s">
        <v>50</v>
      </c>
    </row>
    <row r="74" customFormat="false" ht="15" hidden="false" customHeight="false" outlineLevel="0" collapsed="false">
      <c r="A74" s="15" t="s">
        <v>284</v>
      </c>
      <c r="B74" s="16" t="s">
        <v>27</v>
      </c>
      <c r="C74" s="15" t="s">
        <v>285</v>
      </c>
      <c r="D74" s="16" t="s">
        <v>66</v>
      </c>
      <c r="E74" s="16" t="s">
        <v>50</v>
      </c>
    </row>
    <row r="75" customFormat="false" ht="15" hidden="false" customHeight="false" outlineLevel="0" collapsed="false">
      <c r="A75" s="18" t="s">
        <v>286</v>
      </c>
      <c r="B75" s="19" t="s">
        <v>27</v>
      </c>
      <c r="C75" s="18" t="s">
        <v>287</v>
      </c>
      <c r="D75" s="19" t="s">
        <v>66</v>
      </c>
      <c r="E75" s="19" t="s">
        <v>50</v>
      </c>
    </row>
    <row r="76" customFormat="false" ht="15" hidden="false" customHeight="false" outlineLevel="0" collapsed="false">
      <c r="A76" s="15" t="s">
        <v>288</v>
      </c>
      <c r="B76" s="16" t="s">
        <v>27</v>
      </c>
      <c r="C76" s="15" t="s">
        <v>289</v>
      </c>
      <c r="D76" s="16" t="s">
        <v>66</v>
      </c>
      <c r="E76" s="16" t="s">
        <v>50</v>
      </c>
    </row>
    <row r="77" customFormat="false" ht="15" hidden="false" customHeight="false" outlineLevel="0" collapsed="false">
      <c r="A77" s="18" t="s">
        <v>290</v>
      </c>
      <c r="B77" s="19" t="s">
        <v>27</v>
      </c>
      <c r="C77" s="18" t="s">
        <v>291</v>
      </c>
      <c r="D77" s="19" t="s">
        <v>66</v>
      </c>
      <c r="E77" s="19" t="s">
        <v>50</v>
      </c>
    </row>
    <row r="78" customFormat="false" ht="15" hidden="false" customHeight="false" outlineLevel="0" collapsed="false">
      <c r="A78" s="15" t="s">
        <v>292</v>
      </c>
      <c r="B78" s="16" t="s">
        <v>27</v>
      </c>
      <c r="C78" s="15" t="s">
        <v>293</v>
      </c>
      <c r="D78" s="16" t="s">
        <v>66</v>
      </c>
      <c r="E78" s="16" t="s">
        <v>50</v>
      </c>
    </row>
    <row r="79" customFormat="false" ht="15" hidden="false" customHeight="false" outlineLevel="0" collapsed="false">
      <c r="A79" s="18" t="s">
        <v>294</v>
      </c>
      <c r="B79" s="19" t="s">
        <v>27</v>
      </c>
      <c r="C79" s="18" t="s">
        <v>295</v>
      </c>
      <c r="D79" s="19" t="s">
        <v>49</v>
      </c>
      <c r="E79" s="19" t="s">
        <v>50</v>
      </c>
    </row>
    <row r="80" customFormat="false" ht="15" hidden="false" customHeight="false" outlineLevel="0" collapsed="false">
      <c r="A80" s="15" t="s">
        <v>296</v>
      </c>
      <c r="B80" s="16" t="s">
        <v>27</v>
      </c>
      <c r="C80" s="15" t="s">
        <v>297</v>
      </c>
      <c r="D80" s="16" t="s">
        <v>66</v>
      </c>
      <c r="E80" s="16" t="s">
        <v>50</v>
      </c>
    </row>
    <row r="81" customFormat="false" ht="15" hidden="false" customHeight="false" outlineLevel="0" collapsed="false">
      <c r="A81" s="18" t="s">
        <v>298</v>
      </c>
      <c r="B81" s="19" t="s">
        <v>27</v>
      </c>
      <c r="C81" s="18" t="s">
        <v>299</v>
      </c>
      <c r="D81" s="19" t="s">
        <v>66</v>
      </c>
      <c r="E81" s="19" t="s">
        <v>50</v>
      </c>
    </row>
    <row r="82" customFormat="false" ht="15" hidden="false" customHeight="false" outlineLevel="0" collapsed="false">
      <c r="A82" s="15" t="s">
        <v>300</v>
      </c>
      <c r="B82" s="16" t="s">
        <v>27</v>
      </c>
      <c r="C82" s="15" t="s">
        <v>301</v>
      </c>
      <c r="D82" s="16" t="s">
        <v>49</v>
      </c>
      <c r="E82" s="16" t="s">
        <v>50</v>
      </c>
    </row>
    <row r="83" customFormat="false" ht="15" hidden="false" customHeight="false" outlineLevel="0" collapsed="false">
      <c r="A83" s="18" t="s">
        <v>302</v>
      </c>
      <c r="B83" s="19" t="s">
        <v>27</v>
      </c>
      <c r="C83" s="18" t="s">
        <v>183</v>
      </c>
      <c r="D83" s="19" t="s">
        <v>66</v>
      </c>
      <c r="E83" s="19" t="s">
        <v>50</v>
      </c>
    </row>
    <row r="84" customFormat="false" ht="15" hidden="false" customHeight="false" outlineLevel="0" collapsed="false">
      <c r="A84" s="15" t="s">
        <v>303</v>
      </c>
      <c r="B84" s="16" t="s">
        <v>28</v>
      </c>
      <c r="C84" s="15" t="s">
        <v>304</v>
      </c>
      <c r="D84" s="16" t="s">
        <v>49</v>
      </c>
      <c r="E84" s="16" t="s">
        <v>50</v>
      </c>
    </row>
    <row r="85" customFormat="false" ht="15" hidden="false" customHeight="false" outlineLevel="0" collapsed="false">
      <c r="A85" s="18" t="s">
        <v>305</v>
      </c>
      <c r="B85" s="19" t="s">
        <v>28</v>
      </c>
      <c r="C85" s="18" t="s">
        <v>306</v>
      </c>
      <c r="D85" s="19" t="s">
        <v>66</v>
      </c>
      <c r="E85" s="19" t="s">
        <v>50</v>
      </c>
    </row>
    <row r="86" customFormat="false" ht="15" hidden="false" customHeight="false" outlineLevel="0" collapsed="false">
      <c r="A86" s="15" t="s">
        <v>307</v>
      </c>
      <c r="B86" s="16" t="s">
        <v>28</v>
      </c>
      <c r="C86" s="15" t="s">
        <v>308</v>
      </c>
      <c r="D86" s="16" t="s">
        <v>66</v>
      </c>
      <c r="E86" s="16" t="s">
        <v>50</v>
      </c>
    </row>
    <row r="87" customFormat="false" ht="15" hidden="false" customHeight="false" outlineLevel="0" collapsed="false">
      <c r="A87" s="18" t="s">
        <v>309</v>
      </c>
      <c r="B87" s="19" t="s">
        <v>28</v>
      </c>
      <c r="C87" s="18" t="s">
        <v>310</v>
      </c>
      <c r="D87" s="19" t="s">
        <v>66</v>
      </c>
      <c r="E87" s="19" t="s">
        <v>50</v>
      </c>
    </row>
    <row r="88" customFormat="false" ht="15" hidden="false" customHeight="false" outlineLevel="0" collapsed="false">
      <c r="A88" s="15" t="s">
        <v>311</v>
      </c>
      <c r="B88" s="16" t="s">
        <v>28</v>
      </c>
      <c r="C88" s="15" t="s">
        <v>312</v>
      </c>
      <c r="D88" s="16" t="s">
        <v>49</v>
      </c>
      <c r="E88" s="16" t="s">
        <v>50</v>
      </c>
    </row>
    <row r="89" customFormat="false" ht="15" hidden="false" customHeight="false" outlineLevel="0" collapsed="false">
      <c r="A89" s="18" t="s">
        <v>313</v>
      </c>
      <c r="B89" s="19" t="s">
        <v>28</v>
      </c>
      <c r="C89" s="18" t="s">
        <v>314</v>
      </c>
      <c r="D89" s="19" t="s">
        <v>49</v>
      </c>
      <c r="E89" s="19" t="s">
        <v>50</v>
      </c>
    </row>
    <row r="90" customFormat="false" ht="15" hidden="false" customHeight="false" outlineLevel="0" collapsed="false">
      <c r="A90" s="15" t="s">
        <v>315</v>
      </c>
      <c r="B90" s="16" t="s">
        <v>28</v>
      </c>
      <c r="C90" s="15" t="s">
        <v>316</v>
      </c>
      <c r="D90" s="16" t="s">
        <v>66</v>
      </c>
      <c r="E90" s="16" t="s">
        <v>50</v>
      </c>
    </row>
    <row r="91" customFormat="false" ht="15" hidden="false" customHeight="false" outlineLevel="0" collapsed="false">
      <c r="A91" s="18" t="s">
        <v>317</v>
      </c>
      <c r="B91" s="19" t="s">
        <v>28</v>
      </c>
      <c r="C91" s="18" t="s">
        <v>318</v>
      </c>
      <c r="D91" s="19" t="s">
        <v>66</v>
      </c>
      <c r="E91" s="19" t="s">
        <v>119</v>
      </c>
    </row>
    <row r="92" customFormat="false" ht="15" hidden="false" customHeight="false" outlineLevel="0" collapsed="false">
      <c r="A92" s="15" t="s">
        <v>319</v>
      </c>
      <c r="B92" s="16" t="s">
        <v>28</v>
      </c>
      <c r="C92" s="15" t="s">
        <v>320</v>
      </c>
      <c r="D92" s="16" t="s">
        <v>49</v>
      </c>
      <c r="E92" s="16" t="s">
        <v>50</v>
      </c>
    </row>
    <row r="93" customFormat="false" ht="15" hidden="false" customHeight="false" outlineLevel="0" collapsed="false">
      <c r="A93" s="18" t="s">
        <v>321</v>
      </c>
      <c r="B93" s="19" t="s">
        <v>28</v>
      </c>
      <c r="C93" s="18" t="s">
        <v>322</v>
      </c>
      <c r="D93" s="19" t="s">
        <v>66</v>
      </c>
      <c r="E93" s="19" t="s">
        <v>50</v>
      </c>
    </row>
    <row r="94" customFormat="false" ht="15" hidden="false" customHeight="false" outlineLevel="0" collapsed="false">
      <c r="A94" s="15" t="s">
        <v>323</v>
      </c>
      <c r="B94" s="16" t="s">
        <v>28</v>
      </c>
      <c r="C94" s="15" t="s">
        <v>324</v>
      </c>
      <c r="D94" s="16" t="s">
        <v>49</v>
      </c>
      <c r="E94" s="16" t="s">
        <v>50</v>
      </c>
    </row>
    <row r="95" customFormat="false" ht="15" hidden="false" customHeight="false" outlineLevel="0" collapsed="false">
      <c r="A95" s="18" t="s">
        <v>325</v>
      </c>
      <c r="B95" s="19" t="s">
        <v>28</v>
      </c>
      <c r="C95" s="18" t="s">
        <v>326</v>
      </c>
      <c r="D95" s="19" t="s">
        <v>66</v>
      </c>
      <c r="E95" s="19" t="s">
        <v>50</v>
      </c>
    </row>
    <row r="96" customFormat="false" ht="15" hidden="false" customHeight="false" outlineLevel="0" collapsed="false">
      <c r="A96" s="15" t="s">
        <v>327</v>
      </c>
      <c r="B96" s="16" t="s">
        <v>28</v>
      </c>
      <c r="C96" s="15" t="s">
        <v>328</v>
      </c>
      <c r="D96" s="16" t="s">
        <v>66</v>
      </c>
      <c r="E96" s="16" t="s">
        <v>50</v>
      </c>
    </row>
    <row r="97" customFormat="false" ht="15" hidden="false" customHeight="false" outlineLevel="0" collapsed="false">
      <c r="A97" s="18" t="s">
        <v>329</v>
      </c>
      <c r="B97" s="19" t="s">
        <v>28</v>
      </c>
      <c r="C97" s="18" t="s">
        <v>330</v>
      </c>
      <c r="D97" s="19" t="s">
        <v>66</v>
      </c>
      <c r="E97" s="19" t="s">
        <v>50</v>
      </c>
    </row>
    <row r="98" customFormat="false" ht="15" hidden="false" customHeight="false" outlineLevel="0" collapsed="false">
      <c r="A98" s="15" t="s">
        <v>331</v>
      </c>
      <c r="B98" s="16" t="s">
        <v>28</v>
      </c>
      <c r="C98" s="15" t="s">
        <v>332</v>
      </c>
      <c r="D98" s="16" t="s">
        <v>66</v>
      </c>
      <c r="E98" s="16" t="s">
        <v>50</v>
      </c>
    </row>
    <row r="99" customFormat="false" ht="15" hidden="false" customHeight="false" outlineLevel="0" collapsed="false">
      <c r="A99" s="18" t="s">
        <v>333</v>
      </c>
      <c r="B99" s="19" t="s">
        <v>28</v>
      </c>
      <c r="C99" s="18" t="s">
        <v>334</v>
      </c>
      <c r="D99" s="19" t="s">
        <v>66</v>
      </c>
      <c r="E99" s="19" t="s">
        <v>50</v>
      </c>
    </row>
    <row r="100" customFormat="false" ht="15" hidden="false" customHeight="false" outlineLevel="0" collapsed="false">
      <c r="A100" s="15" t="s">
        <v>335</v>
      </c>
      <c r="B100" s="16" t="s">
        <v>28</v>
      </c>
      <c r="C100" s="15" t="s">
        <v>336</v>
      </c>
      <c r="D100" s="16" t="s">
        <v>66</v>
      </c>
      <c r="E100" s="16" t="s">
        <v>50</v>
      </c>
    </row>
    <row r="101" customFormat="false" ht="15" hidden="false" customHeight="false" outlineLevel="0" collapsed="false">
      <c r="A101" s="18" t="s">
        <v>337</v>
      </c>
      <c r="B101" s="19" t="s">
        <v>28</v>
      </c>
      <c r="C101" s="18" t="s">
        <v>338</v>
      </c>
      <c r="D101" s="19" t="s">
        <v>66</v>
      </c>
      <c r="E101" s="19" t="s">
        <v>50</v>
      </c>
    </row>
    <row r="102" customFormat="false" ht="15" hidden="false" customHeight="false" outlineLevel="0" collapsed="false">
      <c r="A102" s="15" t="s">
        <v>339</v>
      </c>
      <c r="B102" s="16" t="s">
        <v>28</v>
      </c>
      <c r="C102" s="15" t="s">
        <v>340</v>
      </c>
      <c r="D102" s="16" t="s">
        <v>49</v>
      </c>
      <c r="E102" s="16" t="s">
        <v>50</v>
      </c>
    </row>
    <row r="103" customFormat="false" ht="15" hidden="false" customHeight="false" outlineLevel="0" collapsed="false">
      <c r="A103" s="18" t="s">
        <v>341</v>
      </c>
      <c r="B103" s="19" t="s">
        <v>28</v>
      </c>
      <c r="C103" s="18" t="s">
        <v>183</v>
      </c>
      <c r="D103" s="19" t="s">
        <v>66</v>
      </c>
      <c r="E103" s="19" t="s">
        <v>50</v>
      </c>
    </row>
    <row r="104" customFormat="false" ht="15" hidden="false" customHeight="false" outlineLevel="0" collapsed="false">
      <c r="A104" s="15" t="s">
        <v>342</v>
      </c>
      <c r="B104" s="16" t="s">
        <v>29</v>
      </c>
      <c r="C104" s="15" t="s">
        <v>343</v>
      </c>
      <c r="D104" s="16" t="s">
        <v>66</v>
      </c>
      <c r="E104" s="16" t="s">
        <v>50</v>
      </c>
    </row>
    <row r="105" customFormat="false" ht="15" hidden="false" customHeight="false" outlineLevel="0" collapsed="false">
      <c r="A105" s="18" t="s">
        <v>344</v>
      </c>
      <c r="B105" s="19" t="s">
        <v>29</v>
      </c>
      <c r="C105" s="18" t="s">
        <v>345</v>
      </c>
      <c r="D105" s="19" t="s">
        <v>49</v>
      </c>
      <c r="E105" s="19" t="s">
        <v>50</v>
      </c>
    </row>
    <row r="106" customFormat="false" ht="15" hidden="false" customHeight="false" outlineLevel="0" collapsed="false">
      <c r="A106" s="15" t="s">
        <v>346</v>
      </c>
      <c r="B106" s="16" t="s">
        <v>29</v>
      </c>
      <c r="C106" s="15" t="s">
        <v>347</v>
      </c>
      <c r="D106" s="16" t="s">
        <v>66</v>
      </c>
      <c r="E106" s="16" t="s">
        <v>50</v>
      </c>
    </row>
    <row r="107" customFormat="false" ht="15" hidden="false" customHeight="false" outlineLevel="0" collapsed="false">
      <c r="A107" s="18" t="s">
        <v>348</v>
      </c>
      <c r="B107" s="19" t="s">
        <v>29</v>
      </c>
      <c r="C107" s="18" t="s">
        <v>349</v>
      </c>
      <c r="D107" s="19" t="s">
        <v>66</v>
      </c>
      <c r="E107" s="19" t="s">
        <v>50</v>
      </c>
    </row>
    <row r="108" customFormat="false" ht="15" hidden="false" customHeight="false" outlineLevel="0" collapsed="false">
      <c r="A108" s="15" t="s">
        <v>350</v>
      </c>
      <c r="B108" s="16" t="s">
        <v>29</v>
      </c>
      <c r="C108" s="15" t="s">
        <v>351</v>
      </c>
      <c r="D108" s="16" t="s">
        <v>66</v>
      </c>
      <c r="E108" s="16" t="s">
        <v>50</v>
      </c>
    </row>
    <row r="109" customFormat="false" ht="15" hidden="false" customHeight="false" outlineLevel="0" collapsed="false">
      <c r="A109" s="18" t="s">
        <v>352</v>
      </c>
      <c r="B109" s="19" t="s">
        <v>29</v>
      </c>
      <c r="C109" s="18" t="s">
        <v>353</v>
      </c>
      <c r="D109" s="19" t="s">
        <v>66</v>
      </c>
      <c r="E109" s="19" t="s">
        <v>50</v>
      </c>
    </row>
    <row r="110" customFormat="false" ht="15" hidden="false" customHeight="false" outlineLevel="0" collapsed="false">
      <c r="A110" s="15" t="s">
        <v>354</v>
      </c>
      <c r="B110" s="16" t="s">
        <v>29</v>
      </c>
      <c r="C110" s="15" t="s">
        <v>355</v>
      </c>
      <c r="D110" s="16" t="s">
        <v>49</v>
      </c>
      <c r="E110" s="16" t="s">
        <v>50</v>
      </c>
    </row>
    <row r="111" customFormat="false" ht="15" hidden="false" customHeight="false" outlineLevel="0" collapsed="false">
      <c r="A111" s="18" t="s">
        <v>356</v>
      </c>
      <c r="B111" s="19" t="s">
        <v>29</v>
      </c>
      <c r="C111" s="18" t="s">
        <v>357</v>
      </c>
      <c r="D111" s="19" t="s">
        <v>66</v>
      </c>
      <c r="E111" s="19" t="s">
        <v>50</v>
      </c>
    </row>
    <row r="112" customFormat="false" ht="15" hidden="false" customHeight="false" outlineLevel="0" collapsed="false">
      <c r="A112" s="15" t="s">
        <v>358</v>
      </c>
      <c r="B112" s="16" t="s">
        <v>29</v>
      </c>
      <c r="C112" s="15" t="s">
        <v>359</v>
      </c>
      <c r="D112" s="16" t="s">
        <v>49</v>
      </c>
      <c r="E112" s="16" t="s">
        <v>50</v>
      </c>
    </row>
    <row r="113" customFormat="false" ht="15" hidden="false" customHeight="false" outlineLevel="0" collapsed="false">
      <c r="A113" s="18" t="s">
        <v>360</v>
      </c>
      <c r="B113" s="19" t="s">
        <v>29</v>
      </c>
      <c r="C113" s="18" t="s">
        <v>361</v>
      </c>
      <c r="D113" s="19" t="s">
        <v>66</v>
      </c>
      <c r="E113" s="19" t="s">
        <v>50</v>
      </c>
    </row>
    <row r="114" customFormat="false" ht="15" hidden="false" customHeight="false" outlineLevel="0" collapsed="false">
      <c r="A114" s="15" t="s">
        <v>362</v>
      </c>
      <c r="B114" s="16" t="s">
        <v>29</v>
      </c>
      <c r="C114" s="15" t="s">
        <v>363</v>
      </c>
      <c r="D114" s="16" t="s">
        <v>49</v>
      </c>
      <c r="E114" s="16" t="s">
        <v>50</v>
      </c>
    </row>
    <row r="115" customFormat="false" ht="15" hidden="false" customHeight="false" outlineLevel="0" collapsed="false">
      <c r="A115" s="18" t="s">
        <v>364</v>
      </c>
      <c r="B115" s="19" t="s">
        <v>29</v>
      </c>
      <c r="C115" s="18" t="s">
        <v>365</v>
      </c>
      <c r="D115" s="19" t="s">
        <v>66</v>
      </c>
      <c r="E115" s="19" t="s">
        <v>50</v>
      </c>
    </row>
    <row r="116" customFormat="false" ht="15" hidden="false" customHeight="false" outlineLevel="0" collapsed="false">
      <c r="A116" s="15" t="s">
        <v>366</v>
      </c>
      <c r="B116" s="16" t="s">
        <v>29</v>
      </c>
      <c r="C116" s="15" t="s">
        <v>367</v>
      </c>
      <c r="D116" s="16" t="s">
        <v>66</v>
      </c>
      <c r="E116" s="16" t="s">
        <v>50</v>
      </c>
    </row>
    <row r="117" customFormat="false" ht="15" hidden="false" customHeight="false" outlineLevel="0" collapsed="false">
      <c r="A117" s="18" t="s">
        <v>368</v>
      </c>
      <c r="B117" s="19" t="s">
        <v>29</v>
      </c>
      <c r="C117" s="18" t="s">
        <v>369</v>
      </c>
      <c r="D117" s="19" t="s">
        <v>66</v>
      </c>
      <c r="E117" s="19" t="s">
        <v>50</v>
      </c>
    </row>
    <row r="118" customFormat="false" ht="15" hidden="false" customHeight="false" outlineLevel="0" collapsed="false">
      <c r="A118" s="15" t="s">
        <v>370</v>
      </c>
      <c r="B118" s="16" t="s">
        <v>29</v>
      </c>
      <c r="C118" s="15" t="s">
        <v>371</v>
      </c>
      <c r="D118" s="16" t="s">
        <v>66</v>
      </c>
      <c r="E118" s="16" t="s">
        <v>50</v>
      </c>
    </row>
    <row r="119" customFormat="false" ht="15" hidden="false" customHeight="false" outlineLevel="0" collapsed="false">
      <c r="A119" s="18" t="s">
        <v>372</v>
      </c>
      <c r="B119" s="19" t="s">
        <v>29</v>
      </c>
      <c r="C119" s="18" t="s">
        <v>373</v>
      </c>
      <c r="D119" s="19" t="s">
        <v>49</v>
      </c>
      <c r="E119" s="19" t="s">
        <v>50</v>
      </c>
    </row>
    <row r="120" customFormat="false" ht="15" hidden="false" customHeight="false" outlineLevel="0" collapsed="false">
      <c r="A120" s="15" t="s">
        <v>374</v>
      </c>
      <c r="B120" s="16" t="s">
        <v>29</v>
      </c>
      <c r="C120" s="15" t="s">
        <v>375</v>
      </c>
      <c r="D120" s="16" t="s">
        <v>66</v>
      </c>
      <c r="E120" s="16" t="s">
        <v>50</v>
      </c>
    </row>
    <row r="121" customFormat="false" ht="15" hidden="false" customHeight="false" outlineLevel="0" collapsed="false">
      <c r="A121" s="18" t="s">
        <v>376</v>
      </c>
      <c r="B121" s="19" t="s">
        <v>29</v>
      </c>
      <c r="C121" s="18" t="s">
        <v>377</v>
      </c>
      <c r="D121" s="19" t="s">
        <v>66</v>
      </c>
      <c r="E121" s="19" t="s">
        <v>50</v>
      </c>
    </row>
    <row r="122" customFormat="false" ht="15" hidden="false" customHeight="false" outlineLevel="0" collapsed="false">
      <c r="A122" s="15" t="s">
        <v>378</v>
      </c>
      <c r="B122" s="16" t="s">
        <v>29</v>
      </c>
      <c r="C122" s="15" t="s">
        <v>379</v>
      </c>
      <c r="D122" s="16" t="s">
        <v>66</v>
      </c>
      <c r="E122" s="16" t="s">
        <v>50</v>
      </c>
    </row>
    <row r="123" customFormat="false" ht="15" hidden="false" customHeight="false" outlineLevel="0" collapsed="false">
      <c r="A123" s="18" t="s">
        <v>380</v>
      </c>
      <c r="B123" s="19" t="s">
        <v>29</v>
      </c>
      <c r="C123" s="18" t="s">
        <v>381</v>
      </c>
      <c r="D123" s="19" t="s">
        <v>66</v>
      </c>
      <c r="E123" s="1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4" min="3" style="0" width="18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3"/>
  </cols>
  <sheetData>
    <row r="1" customFormat="false" ht="21.6" hidden="false" customHeight="false" outlineLevel="0" collapsed="false">
      <c r="A1" s="1" t="s">
        <v>382</v>
      </c>
    </row>
    <row r="2" customFormat="false" ht="15" hidden="false" customHeight="false" outlineLevel="0" collapsed="false">
      <c r="A2" s="2" t="s">
        <v>383</v>
      </c>
    </row>
    <row r="3" customFormat="false" ht="15" hidden="false" customHeight="false" outlineLevel="0" collapsed="false">
      <c r="A3" s="14" t="s">
        <v>384</v>
      </c>
      <c r="B3" s="14" t="s">
        <v>385</v>
      </c>
      <c r="C3" s="14" t="s">
        <v>386</v>
      </c>
      <c r="D3" s="14" t="s">
        <v>387</v>
      </c>
      <c r="E3" s="14" t="s">
        <v>388</v>
      </c>
      <c r="F3" s="14" t="s">
        <v>389</v>
      </c>
      <c r="G3" s="14" t="s">
        <v>390</v>
      </c>
    </row>
    <row r="4" customFormat="false" ht="15" hidden="false" customHeight="false" outlineLevel="0" collapsed="false">
      <c r="A4" s="16" t="s">
        <v>391</v>
      </c>
      <c r="B4" s="16" t="s">
        <v>392</v>
      </c>
      <c r="C4" s="16" t="s">
        <v>24</v>
      </c>
      <c r="D4" s="16" t="s">
        <v>29</v>
      </c>
      <c r="E4" s="16" t="s">
        <v>393</v>
      </c>
      <c r="F4" s="16" t="s">
        <v>394</v>
      </c>
      <c r="G4" s="20" t="n">
        <f aca="false">요약!$B$6+COUNTIF('유형별 특화 20'!$B$4:$B$123,C4)+COUNTIF('유형별 특화 20'!$B$4:$B$123,D4)</f>
        <v>70</v>
      </c>
    </row>
    <row r="5" customFormat="false" ht="15" hidden="false" customHeight="false" outlineLevel="0" collapsed="false">
      <c r="A5" s="19" t="s">
        <v>395</v>
      </c>
      <c r="B5" s="19" t="s">
        <v>396</v>
      </c>
      <c r="C5" s="19" t="s">
        <v>25</v>
      </c>
      <c r="D5" s="19" t="s">
        <v>26</v>
      </c>
      <c r="E5" s="19" t="s">
        <v>393</v>
      </c>
      <c r="F5" s="19" t="s">
        <v>394</v>
      </c>
      <c r="G5" s="21" t="n">
        <f aca="false">요약!$B$6+COUNTIF('유형별 특화 20'!$B$4:$B$123,C5)+COUNTIF('유형별 특화 20'!$B$4:$B$123,D5)</f>
        <v>70</v>
      </c>
    </row>
    <row r="6" customFormat="false" ht="15" hidden="false" customHeight="false" outlineLevel="0" collapsed="false">
      <c r="A6" s="16" t="s">
        <v>397</v>
      </c>
      <c r="B6" s="16" t="s">
        <v>396</v>
      </c>
      <c r="C6" s="16" t="s">
        <v>24</v>
      </c>
      <c r="D6" s="16" t="s">
        <v>28</v>
      </c>
      <c r="E6" s="16" t="s">
        <v>398</v>
      </c>
      <c r="F6" s="16" t="s">
        <v>399</v>
      </c>
      <c r="G6" s="20" t="n">
        <f aca="false">요약!$B$6+COUNTIF('유형별 특화 20'!$B$4:$B$123,C6)+COUNTIF('유형별 특화 20'!$B$4:$B$123,D6)</f>
        <v>70</v>
      </c>
    </row>
    <row r="7" customFormat="false" ht="15" hidden="false" customHeight="false" outlineLevel="0" collapsed="false">
      <c r="A7" s="19" t="s">
        <v>400</v>
      </c>
      <c r="B7" s="19" t="s">
        <v>396</v>
      </c>
      <c r="C7" s="19" t="s">
        <v>24</v>
      </c>
      <c r="D7" s="19" t="s">
        <v>25</v>
      </c>
      <c r="E7" s="19" t="s">
        <v>393</v>
      </c>
      <c r="F7" s="19" t="s">
        <v>401</v>
      </c>
      <c r="G7" s="21" t="n">
        <f aca="false">요약!$B$6+COUNTIF('유형별 특화 20'!$B$4:$B$123,C7)+COUNTIF('유형별 특화 20'!$B$4:$B$123,D7)</f>
        <v>70</v>
      </c>
    </row>
    <row r="8" customFormat="false" ht="15" hidden="false" customHeight="false" outlineLevel="0" collapsed="false">
      <c r="A8" s="16" t="s">
        <v>402</v>
      </c>
      <c r="B8" s="16" t="s">
        <v>396</v>
      </c>
      <c r="C8" s="16" t="s">
        <v>24</v>
      </c>
      <c r="D8" s="16" t="s">
        <v>29</v>
      </c>
      <c r="E8" s="16" t="s">
        <v>398</v>
      </c>
      <c r="F8" s="16" t="s">
        <v>394</v>
      </c>
      <c r="G8" s="20" t="n">
        <f aca="false">요약!$B$6+COUNTIF('유형별 특화 20'!$B$4:$B$123,C8)+COUNTIF('유형별 특화 20'!$B$4:$B$123,D8)</f>
        <v>70</v>
      </c>
    </row>
    <row r="9" customFormat="false" ht="15" hidden="false" customHeight="false" outlineLevel="0" collapsed="false">
      <c r="A9" s="19" t="s">
        <v>403</v>
      </c>
      <c r="B9" s="19" t="s">
        <v>396</v>
      </c>
      <c r="C9" s="19" t="s">
        <v>27</v>
      </c>
      <c r="D9" s="19" t="s">
        <v>24</v>
      </c>
      <c r="E9" s="19" t="s">
        <v>398</v>
      </c>
      <c r="F9" s="19" t="s">
        <v>394</v>
      </c>
      <c r="G9" s="21" t="n">
        <f aca="false">요약!$B$6+COUNTIF('유형별 특화 20'!$B$4:$B$123,C9)+COUNTIF('유형별 특화 20'!$B$4:$B$123,D9)</f>
        <v>70</v>
      </c>
    </row>
    <row r="10" customFormat="false" ht="15" hidden="false" customHeight="false" outlineLevel="0" collapsed="false">
      <c r="A10" s="16" t="s">
        <v>404</v>
      </c>
      <c r="B10" s="16" t="s">
        <v>396</v>
      </c>
      <c r="C10" s="16" t="s">
        <v>26</v>
      </c>
      <c r="D10" s="16" t="s">
        <v>25</v>
      </c>
      <c r="E10" s="16" t="s">
        <v>398</v>
      </c>
      <c r="F10" s="16" t="s">
        <v>394</v>
      </c>
      <c r="G10" s="20" t="n">
        <f aca="false">요약!$B$6+COUNTIF('유형별 특화 20'!$B$4:$B$123,C10)+COUNTIF('유형별 특화 20'!$B$4:$B$123,D10)</f>
        <v>70</v>
      </c>
    </row>
    <row r="11" customFormat="false" ht="15" hidden="false" customHeight="false" outlineLevel="0" collapsed="false">
      <c r="A11" s="19" t="s">
        <v>405</v>
      </c>
      <c r="B11" s="19" t="s">
        <v>406</v>
      </c>
      <c r="C11" s="19" t="s">
        <v>27</v>
      </c>
      <c r="D11" s="19" t="s">
        <v>28</v>
      </c>
      <c r="E11" s="19" t="s">
        <v>398</v>
      </c>
      <c r="F11" s="19" t="s">
        <v>407</v>
      </c>
      <c r="G11" s="21" t="n">
        <f aca="false">요약!$B$6+COUNTIF('유형별 특화 20'!$B$4:$B$123,C11)+COUNTIF('유형별 특화 20'!$B$4:$B$123,D11)</f>
        <v>70</v>
      </c>
    </row>
    <row r="12" customFormat="false" ht="15" hidden="false" customHeight="false" outlineLevel="0" collapsed="false">
      <c r="A12" s="16" t="s">
        <v>408</v>
      </c>
      <c r="B12" s="16" t="s">
        <v>409</v>
      </c>
      <c r="C12" s="16" t="s">
        <v>24</v>
      </c>
      <c r="D12" s="16" t="s">
        <v>28</v>
      </c>
      <c r="E12" s="16" t="s">
        <v>410</v>
      </c>
      <c r="F12" s="16" t="s">
        <v>411</v>
      </c>
      <c r="G12" s="20" t="n">
        <f aca="false">요약!$B$6+COUNTIF('유형별 특화 20'!$B$4:$B$123,C12)+COUNTIF('유형별 특화 20'!$B$4:$B$123,D12)</f>
        <v>70</v>
      </c>
    </row>
    <row r="13" customFormat="false" ht="15" hidden="false" customHeight="false" outlineLevel="0" collapsed="false">
      <c r="A13" s="19" t="s">
        <v>412</v>
      </c>
      <c r="B13" s="19" t="s">
        <v>413</v>
      </c>
      <c r="C13" s="19" t="s">
        <v>28</v>
      </c>
      <c r="D13" s="19" t="s">
        <v>25</v>
      </c>
      <c r="E13" s="19" t="s">
        <v>393</v>
      </c>
      <c r="F13" s="19" t="s">
        <v>414</v>
      </c>
      <c r="G13" s="21" t="n">
        <f aca="false">요약!$B$6+COUNTIF('유형별 특화 20'!$B$4:$B$123,C13)+COUNTIF('유형별 특화 20'!$B$4:$B$123,D13)</f>
        <v>70</v>
      </c>
    </row>
    <row r="14" customFormat="false" ht="15" hidden="false" customHeight="false" outlineLevel="0" collapsed="false">
      <c r="A14" s="16" t="s">
        <v>415</v>
      </c>
      <c r="B14" s="16" t="s">
        <v>409</v>
      </c>
      <c r="C14" s="16" t="s">
        <v>28</v>
      </c>
      <c r="D14" s="16" t="s">
        <v>27</v>
      </c>
      <c r="E14" s="16" t="s">
        <v>398</v>
      </c>
      <c r="F14" s="16" t="s">
        <v>394</v>
      </c>
      <c r="G14" s="20" t="n">
        <f aca="false">요약!$B$6+COUNTIF('유형별 특화 20'!$B$4:$B$123,C14)+COUNTIF('유형별 특화 20'!$B$4:$B$123,D14)</f>
        <v>70</v>
      </c>
    </row>
    <row r="15" customFormat="false" ht="15" hidden="false" customHeight="false" outlineLevel="0" collapsed="false">
      <c r="A15" s="19" t="s">
        <v>416</v>
      </c>
      <c r="B15" s="19" t="s">
        <v>409</v>
      </c>
      <c r="C15" s="19" t="s">
        <v>29</v>
      </c>
      <c r="D15" s="19" t="s">
        <v>25</v>
      </c>
      <c r="E15" s="19" t="s">
        <v>398</v>
      </c>
      <c r="F15" s="19" t="s">
        <v>417</v>
      </c>
      <c r="G15" s="21" t="n">
        <f aca="false">요약!$B$6+COUNTIF('유형별 특화 20'!$B$4:$B$123,C15)+COUNTIF('유형별 특화 20'!$B$4:$B$123,D15)</f>
        <v>70</v>
      </c>
    </row>
    <row r="16" customFormat="false" ht="15" hidden="false" customHeight="false" outlineLevel="0" collapsed="false">
      <c r="A16" s="16" t="s">
        <v>418</v>
      </c>
      <c r="B16" s="16" t="s">
        <v>413</v>
      </c>
      <c r="C16" s="16" t="s">
        <v>29</v>
      </c>
      <c r="D16" s="16" t="s">
        <v>28</v>
      </c>
      <c r="E16" s="16" t="s">
        <v>398</v>
      </c>
      <c r="F16" s="16" t="s">
        <v>419</v>
      </c>
      <c r="G16" s="20" t="n">
        <f aca="false">요약!$B$6+COUNTIF('유형별 특화 20'!$B$4:$B$123,C16)+COUNTIF('유형별 특화 20'!$B$4:$B$123,D16)</f>
        <v>70</v>
      </c>
    </row>
    <row r="17" customFormat="false" ht="15" hidden="false" customHeight="false" outlineLevel="0" collapsed="false">
      <c r="A17" s="19" t="s">
        <v>420</v>
      </c>
      <c r="B17" s="19" t="s">
        <v>409</v>
      </c>
      <c r="C17" s="19" t="s">
        <v>25</v>
      </c>
      <c r="D17" s="19" t="s">
        <v>28</v>
      </c>
      <c r="E17" s="19" t="s">
        <v>398</v>
      </c>
      <c r="F17" s="19" t="s">
        <v>421</v>
      </c>
      <c r="G17" s="21" t="n">
        <f aca="false">요약!$B$6+COUNTIF('유형별 특화 20'!$B$4:$B$123,C17)+COUNTIF('유형별 특화 20'!$B$4:$B$123,D17)</f>
        <v>70</v>
      </c>
    </row>
    <row r="18" customFormat="false" ht="29.85" hidden="false" customHeight="false" outlineLevel="0" collapsed="false">
      <c r="A18" s="16" t="s">
        <v>422</v>
      </c>
      <c r="B18" s="16" t="s">
        <v>409</v>
      </c>
      <c r="C18" s="16" t="s">
        <v>29</v>
      </c>
      <c r="D18" s="16" t="s">
        <v>26</v>
      </c>
      <c r="E18" s="16" t="s">
        <v>393</v>
      </c>
      <c r="F18" s="16" t="s">
        <v>423</v>
      </c>
      <c r="G18" s="20" t="n">
        <f aca="false">요약!$B$6+COUNTIF('유형별 특화 20'!$B$4:$B$123,C18)+COUNTIF('유형별 특화 20'!$B$4:$B$123,D18)</f>
        <v>70</v>
      </c>
    </row>
    <row r="19" customFormat="false" ht="15" hidden="false" customHeight="false" outlineLevel="0" collapsed="false">
      <c r="A19" s="19" t="s">
        <v>424</v>
      </c>
      <c r="B19" s="19" t="s">
        <v>409</v>
      </c>
      <c r="C19" s="19" t="s">
        <v>26</v>
      </c>
      <c r="D19" s="19" t="s">
        <v>25</v>
      </c>
      <c r="E19" s="19" t="s">
        <v>398</v>
      </c>
      <c r="F19" s="19" t="s">
        <v>394</v>
      </c>
      <c r="G19" s="21" t="n">
        <f aca="false">요약!$B$6+COUNTIF('유형별 특화 20'!$B$4:$B$123,C19)+COUNTIF('유형별 특화 20'!$B$4:$B$123,D19)</f>
        <v>70</v>
      </c>
    </row>
    <row r="20" customFormat="false" ht="15" hidden="false" customHeight="false" outlineLevel="0" collapsed="false">
      <c r="A20" s="16" t="s">
        <v>425</v>
      </c>
      <c r="B20" s="16" t="s">
        <v>413</v>
      </c>
      <c r="C20" s="16" t="s">
        <v>25</v>
      </c>
      <c r="D20" s="16" t="s">
        <v>29</v>
      </c>
      <c r="E20" s="16" t="s">
        <v>393</v>
      </c>
      <c r="F20" s="16" t="s">
        <v>426</v>
      </c>
      <c r="G20" s="20" t="n">
        <f aca="false">요약!$B$6+COUNTIF('유형별 특화 20'!$B$4:$B$123,C20)+COUNTIF('유형별 특화 20'!$B$4:$B$123,D20)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1" t="s">
        <v>427</v>
      </c>
    </row>
    <row r="2" customFormat="false" ht="15" hidden="false" customHeight="false" outlineLevel="0" collapsed="false">
      <c r="A2" s="2" t="s">
        <v>428</v>
      </c>
    </row>
    <row r="3" customFormat="false" ht="15" hidden="false" customHeight="false" outlineLevel="0" collapsed="false">
      <c r="A3" s="14" t="s">
        <v>385</v>
      </c>
      <c r="B3" s="14" t="s">
        <v>429</v>
      </c>
      <c r="C3" s="14" t="s">
        <v>48</v>
      </c>
    </row>
    <row r="4" customFormat="false" ht="15" hidden="false" customHeight="false" outlineLevel="0" collapsed="false">
      <c r="A4" s="16" t="s">
        <v>430</v>
      </c>
      <c r="B4" s="16" t="s">
        <v>431</v>
      </c>
      <c r="C4" s="15" t="s">
        <v>67</v>
      </c>
    </row>
    <row r="5" customFormat="false" ht="15" hidden="false" customHeight="false" outlineLevel="0" collapsed="false">
      <c r="A5" s="19" t="s">
        <v>432</v>
      </c>
      <c r="B5" s="19" t="s">
        <v>433</v>
      </c>
      <c r="C5" s="19" t="s">
        <v>434</v>
      </c>
    </row>
    <row r="6" customFormat="false" ht="15" hidden="false" customHeight="false" outlineLevel="0" collapsed="false">
      <c r="A6" s="16" t="s">
        <v>435</v>
      </c>
      <c r="B6" s="16" t="s">
        <v>436</v>
      </c>
      <c r="C6" s="16" t="s">
        <v>437</v>
      </c>
    </row>
    <row r="7" customFormat="false" ht="15" hidden="false" customHeight="false" outlineLevel="0" collapsed="false">
      <c r="A7" s="19" t="s">
        <v>438</v>
      </c>
      <c r="B7" s="19" t="s">
        <v>439</v>
      </c>
      <c r="C7" s="19" t="s">
        <v>440</v>
      </c>
    </row>
    <row r="8" customFormat="false" ht="15" hidden="false" customHeight="false" outlineLevel="0" collapsed="false">
      <c r="A8" s="16" t="s">
        <v>441</v>
      </c>
      <c r="B8" s="16" t="s">
        <v>442</v>
      </c>
      <c r="C8" s="16" t="s">
        <v>443</v>
      </c>
    </row>
    <row r="9" customFormat="false" ht="15" hidden="false" customHeight="false" outlineLevel="0" collapsed="false">
      <c r="A9" s="19" t="s">
        <v>444</v>
      </c>
      <c r="B9" s="19" t="s">
        <v>445</v>
      </c>
      <c r="C9" s="18" t="s">
        <v>67</v>
      </c>
    </row>
    <row r="10" customFormat="false" ht="15" hidden="false" customHeight="false" outlineLevel="0" collapsed="false">
      <c r="A10" s="15" t="s">
        <v>446</v>
      </c>
      <c r="B10" s="16" t="s">
        <v>447</v>
      </c>
      <c r="C10" s="16" t="s">
        <v>448</v>
      </c>
    </row>
    <row r="11" customFormat="false" ht="15" hidden="false" customHeight="false" outlineLevel="0" collapsed="false">
      <c r="A11" s="18" t="s">
        <v>449</v>
      </c>
      <c r="B11" s="19" t="s">
        <v>450</v>
      </c>
      <c r="C11" s="19" t="s">
        <v>451</v>
      </c>
    </row>
    <row r="12" customFormat="false" ht="15" hidden="false" customHeight="false" outlineLevel="0" collapsed="false">
      <c r="A12" s="15" t="s">
        <v>452</v>
      </c>
      <c r="B12" s="16" t="s">
        <v>453</v>
      </c>
      <c r="C12" s="16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2026-10-02T13:10:50Z</dcterms:created>
  <dc:creator>openpyxl</dc:creator>
  <dc:description/>
  <dc:language>en-US</dc:language>
  <cp:lastModifiedBy/>
  <dcterms:modified xsi:type="dcterms:W3CDTF">2026-10-02T13:10:50Z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